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Projects\Excel Project\"/>
    </mc:Choice>
  </mc:AlternateContent>
  <bookViews>
    <workbookView xWindow="0" yWindow="0" windowWidth="20490" windowHeight="7500" activeTab="1"/>
  </bookViews>
  <sheets>
    <sheet name="Analysis" sheetId="5" r:id="rId1"/>
    <sheet name="Dashboard" sheetId="6" r:id="rId2"/>
    <sheet name="Student_Master" sheetId="7" r:id="rId3"/>
    <sheet name="Pivot_Analysis" sheetId="10" r:id="rId4"/>
    <sheet name="Company_Requirements" sheetId="8" r:id="rId5"/>
    <sheet name="Eligibility_Engine" sheetId="9" r:id="rId6"/>
  </sheets>
  <definedNames>
    <definedName name="_xlnm._FilterDatabase" localSheetId="2" hidden="1">Student_Master!$G$1:$G$481</definedName>
    <definedName name="CompanyList">Company_Requirements!$A$2:$A$11</definedName>
    <definedName name="Slicer_Degree">#N/A</definedName>
    <definedName name="Slicer_Placement_Status">#N/A</definedName>
    <definedName name="Slicer_Specialization">#N/A</definedName>
  </definedNames>
  <calcPr calcId="162913"/>
  <pivotCaches>
    <pivotCache cacheId="1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 i="7" l="1"/>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2" i="7"/>
  <c r="I10" i="6"/>
  <c r="I9" i="6"/>
  <c r="I8" i="6"/>
  <c r="I7" i="6"/>
  <c r="I6" i="6"/>
  <c r="B8" i="5"/>
  <c r="B5" i="6" s="1"/>
  <c r="G62" i="9"/>
  <c r="G110" i="9"/>
  <c r="G117" i="9"/>
  <c r="G118" i="9"/>
  <c r="G159" i="9"/>
  <c r="G171" i="9"/>
  <c r="G182" i="9"/>
  <c r="G184" i="9"/>
  <c r="G230" i="9"/>
  <c r="G244" i="9"/>
  <c r="G255" i="9"/>
  <c r="G260" i="9"/>
  <c r="G261" i="9"/>
  <c r="G302" i="9"/>
  <c r="G314" i="9"/>
  <c r="G326" i="9"/>
  <c r="G332" i="9"/>
  <c r="G344" i="9"/>
  <c r="G351" i="9"/>
  <c r="G388" i="9"/>
  <c r="G393" i="9"/>
  <c r="G410" i="9"/>
  <c r="G411" i="9"/>
  <c r="G412" i="9"/>
  <c r="G447" i="9"/>
  <c r="G452" i="9"/>
  <c r="G453"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D9" i="9"/>
  <c r="D10" i="9"/>
  <c r="D11" i="9"/>
  <c r="D12" i="9"/>
  <c r="D13" i="9"/>
  <c r="D14" i="9"/>
  <c r="D15" i="9"/>
  <c r="D16" i="9"/>
  <c r="D17" i="9"/>
  <c r="D18" i="9"/>
  <c r="D19" i="9"/>
  <c r="D20" i="9"/>
  <c r="D21" i="9"/>
  <c r="D22" i="9"/>
  <c r="D23" i="9"/>
  <c r="D24" i="9"/>
  <c r="D25" i="9"/>
  <c r="D26" i="9"/>
  <c r="D27" i="9"/>
  <c r="D28" i="9"/>
  <c r="D29" i="9"/>
  <c r="D30" i="9"/>
  <c r="D31" i="9"/>
  <c r="D32" i="9"/>
  <c r="D33" i="9"/>
  <c r="D34" i="9"/>
  <c r="F34" i="9" s="1"/>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F273" i="9" s="1"/>
  <c r="D274" i="9"/>
  <c r="F274" i="9" s="1"/>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G428" i="9" s="1"/>
  <c r="D429" i="9"/>
  <c r="G429" i="9" s="1"/>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C9" i="9"/>
  <c r="F9" i="9" s="1"/>
  <c r="C10" i="9"/>
  <c r="F10" i="9" s="1"/>
  <c r="C11" i="9"/>
  <c r="C12" i="9"/>
  <c r="C13" i="9"/>
  <c r="C14" i="9"/>
  <c r="C15" i="9"/>
  <c r="C16" i="9"/>
  <c r="C17" i="9"/>
  <c r="C18" i="9"/>
  <c r="C19" i="9"/>
  <c r="C20" i="9"/>
  <c r="C21" i="9"/>
  <c r="G21" i="9" s="1"/>
  <c r="C22" i="9"/>
  <c r="G22" i="9" s="1"/>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G57" i="9" s="1"/>
  <c r="C58" i="9"/>
  <c r="G58" i="9" s="1"/>
  <c r="C59" i="9"/>
  <c r="C60" i="9"/>
  <c r="C61" i="9"/>
  <c r="C62" i="9"/>
  <c r="F62" i="9" s="1"/>
  <c r="C63" i="9"/>
  <c r="C64" i="9"/>
  <c r="C65" i="9"/>
  <c r="C66" i="9"/>
  <c r="C67" i="9"/>
  <c r="C68" i="9"/>
  <c r="F68" i="9" s="1"/>
  <c r="C69" i="9"/>
  <c r="G69" i="9" s="1"/>
  <c r="C70" i="9"/>
  <c r="G70" i="9" s="1"/>
  <c r="C71" i="9"/>
  <c r="C72" i="9"/>
  <c r="C73" i="9"/>
  <c r="C74" i="9"/>
  <c r="G74" i="9" s="1"/>
  <c r="C75" i="9"/>
  <c r="C76" i="9"/>
  <c r="C77" i="9"/>
  <c r="G77" i="9" s="1"/>
  <c r="C78" i="9"/>
  <c r="C79" i="9"/>
  <c r="C80" i="9"/>
  <c r="C81" i="9"/>
  <c r="C82" i="9"/>
  <c r="C83" i="9"/>
  <c r="C84" i="9"/>
  <c r="C85" i="9"/>
  <c r="C86" i="9"/>
  <c r="C87" i="9"/>
  <c r="C88" i="9"/>
  <c r="C89" i="9"/>
  <c r="C90" i="9"/>
  <c r="C91" i="9"/>
  <c r="C92" i="9"/>
  <c r="G92" i="9" s="1"/>
  <c r="C93" i="9"/>
  <c r="F93" i="9" s="1"/>
  <c r="C94" i="9"/>
  <c r="C95" i="9"/>
  <c r="C96" i="9"/>
  <c r="C97" i="9"/>
  <c r="C98" i="9"/>
  <c r="C99" i="9"/>
  <c r="C100" i="9"/>
  <c r="C101" i="9"/>
  <c r="C102" i="9"/>
  <c r="C103" i="9"/>
  <c r="C104" i="9"/>
  <c r="G104" i="9" s="1"/>
  <c r="C105" i="9"/>
  <c r="G105" i="9" s="1"/>
  <c r="C106" i="9"/>
  <c r="G106" i="9" s="1"/>
  <c r="C107" i="9"/>
  <c r="C108" i="9"/>
  <c r="C109" i="9"/>
  <c r="C110" i="9"/>
  <c r="C111" i="9"/>
  <c r="C112" i="9"/>
  <c r="C113" i="9"/>
  <c r="C114" i="9"/>
  <c r="C115" i="9"/>
  <c r="C116" i="9"/>
  <c r="F116" i="9" s="1"/>
  <c r="C117" i="9"/>
  <c r="F117" i="9" s="1"/>
  <c r="C118" i="9"/>
  <c r="F118" i="9" s="1"/>
  <c r="C119" i="9"/>
  <c r="C120" i="9"/>
  <c r="C121" i="9"/>
  <c r="C122" i="9"/>
  <c r="C123" i="9"/>
  <c r="C124" i="9"/>
  <c r="C125" i="9"/>
  <c r="G125" i="9" s="1"/>
  <c r="C126" i="9"/>
  <c r="C127" i="9"/>
  <c r="C128" i="9"/>
  <c r="C129" i="9"/>
  <c r="C130" i="9"/>
  <c r="C131" i="9"/>
  <c r="C132" i="9"/>
  <c r="C133" i="9"/>
  <c r="C134" i="9"/>
  <c r="G134" i="9" s="1"/>
  <c r="C135" i="9"/>
  <c r="G135" i="9" s="1"/>
  <c r="C136" i="9"/>
  <c r="G136" i="9" s="1"/>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G164" i="9" s="1"/>
  <c r="C165" i="9"/>
  <c r="G165" i="9" s="1"/>
  <c r="C166" i="9"/>
  <c r="C167" i="9"/>
  <c r="C168" i="9"/>
  <c r="C169" i="9"/>
  <c r="C170" i="9"/>
  <c r="C171" i="9"/>
  <c r="C172" i="9"/>
  <c r="C173" i="9"/>
  <c r="G173" i="9" s="1"/>
  <c r="C174" i="9"/>
  <c r="C175" i="9"/>
  <c r="C176" i="9"/>
  <c r="C177" i="9"/>
  <c r="G177" i="9" s="1"/>
  <c r="C178" i="9"/>
  <c r="C179" i="9"/>
  <c r="C180" i="9"/>
  <c r="C181" i="9"/>
  <c r="C182" i="9"/>
  <c r="C183" i="9"/>
  <c r="C184" i="9"/>
  <c r="C185" i="9"/>
  <c r="C186" i="9"/>
  <c r="C187" i="9"/>
  <c r="C188" i="9"/>
  <c r="C189" i="9"/>
  <c r="F189" i="9" s="1"/>
  <c r="C190" i="9"/>
  <c r="C191" i="9"/>
  <c r="C192" i="9"/>
  <c r="C193" i="9"/>
  <c r="C194" i="9"/>
  <c r="C195" i="9"/>
  <c r="C196" i="9"/>
  <c r="C197" i="9"/>
  <c r="C198" i="9"/>
  <c r="C199" i="9"/>
  <c r="C200" i="9"/>
  <c r="C201" i="9"/>
  <c r="G201" i="9" s="1"/>
  <c r="C202" i="9"/>
  <c r="G202" i="9" s="1"/>
  <c r="C203" i="9"/>
  <c r="C204" i="9"/>
  <c r="C205" i="9"/>
  <c r="C206" i="9"/>
  <c r="G206" i="9" s="1"/>
  <c r="C207" i="9"/>
  <c r="C208" i="9"/>
  <c r="C209" i="9"/>
  <c r="C210" i="9"/>
  <c r="C211" i="9"/>
  <c r="C212" i="9"/>
  <c r="G212" i="9" s="1"/>
  <c r="C213" i="9"/>
  <c r="C214" i="9"/>
  <c r="G214" i="9" s="1"/>
  <c r="C215" i="9"/>
  <c r="C216" i="9"/>
  <c r="C217" i="9"/>
  <c r="C218" i="9"/>
  <c r="G218" i="9" s="1"/>
  <c r="C219" i="9"/>
  <c r="G219" i="9" s="1"/>
  <c r="C220" i="9"/>
  <c r="C221" i="9"/>
  <c r="C222" i="9"/>
  <c r="C223" i="9"/>
  <c r="C224" i="9"/>
  <c r="C225" i="9"/>
  <c r="C226" i="9"/>
  <c r="G226" i="9" s="1"/>
  <c r="C227" i="9"/>
  <c r="C228" i="9"/>
  <c r="C229" i="9"/>
  <c r="C230" i="9"/>
  <c r="C231" i="9"/>
  <c r="C232" i="9"/>
  <c r="C233" i="9"/>
  <c r="C234" i="9"/>
  <c r="C235" i="9"/>
  <c r="C236" i="9"/>
  <c r="C237" i="9"/>
  <c r="C238" i="9"/>
  <c r="C239" i="9"/>
  <c r="C240" i="9"/>
  <c r="C241" i="9"/>
  <c r="C242" i="9"/>
  <c r="C243" i="9"/>
  <c r="C244" i="9"/>
  <c r="C245" i="9"/>
  <c r="C246" i="9"/>
  <c r="C247" i="9"/>
  <c r="C248" i="9"/>
  <c r="F248" i="9" s="1"/>
  <c r="C249" i="9"/>
  <c r="F249" i="9" s="1"/>
  <c r="C250" i="9"/>
  <c r="G250" i="9" s="1"/>
  <c r="C251" i="9"/>
  <c r="C252" i="9"/>
  <c r="C253" i="9"/>
  <c r="C254" i="9"/>
  <c r="C255" i="9"/>
  <c r="C256" i="9"/>
  <c r="C257" i="9"/>
  <c r="C258" i="9"/>
  <c r="C259" i="9"/>
  <c r="C260" i="9"/>
  <c r="C261" i="9"/>
  <c r="C262" i="9"/>
  <c r="C263" i="9"/>
  <c r="C264" i="9"/>
  <c r="C265" i="9"/>
  <c r="C266" i="9"/>
  <c r="C267" i="9"/>
  <c r="G267" i="9" s="1"/>
  <c r="C268" i="9"/>
  <c r="C269" i="9"/>
  <c r="C270" i="9"/>
  <c r="C271" i="9"/>
  <c r="C272" i="9"/>
  <c r="C273" i="9"/>
  <c r="C274" i="9"/>
  <c r="G274" i="9" s="1"/>
  <c r="C275" i="9"/>
  <c r="C276" i="9"/>
  <c r="C277" i="9"/>
  <c r="C278" i="9"/>
  <c r="C279" i="9"/>
  <c r="C280" i="9"/>
  <c r="C281" i="9"/>
  <c r="C282" i="9"/>
  <c r="C283" i="9"/>
  <c r="C284" i="9"/>
  <c r="G284" i="9" s="1"/>
  <c r="C285" i="9"/>
  <c r="G285" i="9" s="1"/>
  <c r="C286" i="9"/>
  <c r="C287" i="9"/>
  <c r="C288" i="9"/>
  <c r="C289" i="9"/>
  <c r="C290" i="9"/>
  <c r="C291" i="9"/>
  <c r="C292" i="9"/>
  <c r="C293" i="9"/>
  <c r="G293" i="9" s="1"/>
  <c r="C294" i="9"/>
  <c r="C295" i="9"/>
  <c r="C296" i="9"/>
  <c r="C297" i="9"/>
  <c r="G297" i="9" s="1"/>
  <c r="C298" i="9"/>
  <c r="F298" i="9" s="1"/>
  <c r="C299" i="9"/>
  <c r="C300" i="9"/>
  <c r="C301" i="9"/>
  <c r="C302" i="9"/>
  <c r="C303" i="9"/>
  <c r="C304" i="9"/>
  <c r="C305" i="9"/>
  <c r="C306" i="9"/>
  <c r="C307" i="9"/>
  <c r="C308" i="9"/>
  <c r="C309" i="9"/>
  <c r="C310" i="9"/>
  <c r="C311" i="9"/>
  <c r="C312" i="9"/>
  <c r="C313" i="9"/>
  <c r="C314" i="9"/>
  <c r="C315" i="9"/>
  <c r="C316" i="9"/>
  <c r="C317" i="9"/>
  <c r="C318" i="9"/>
  <c r="C319" i="9"/>
  <c r="C320" i="9"/>
  <c r="C321" i="9"/>
  <c r="C322" i="9"/>
  <c r="G322" i="9" s="1"/>
  <c r="C323" i="9"/>
  <c r="C324" i="9"/>
  <c r="C325" i="9"/>
  <c r="C326" i="9"/>
  <c r="C327" i="9"/>
  <c r="C328" i="9"/>
  <c r="C329" i="9"/>
  <c r="C330" i="9"/>
  <c r="C331" i="9"/>
  <c r="C332" i="9"/>
  <c r="C333" i="9"/>
  <c r="C334" i="9"/>
  <c r="C335" i="9"/>
  <c r="C336" i="9"/>
  <c r="C337" i="9"/>
  <c r="C338" i="9"/>
  <c r="C339" i="9"/>
  <c r="C340" i="9"/>
  <c r="C341" i="9"/>
  <c r="C342" i="9"/>
  <c r="C343" i="9"/>
  <c r="C344" i="9"/>
  <c r="F344" i="9" s="1"/>
  <c r="C345" i="9"/>
  <c r="G345" i="9" s="1"/>
  <c r="C346" i="9"/>
  <c r="F346" i="9" s="1"/>
  <c r="C347" i="9"/>
  <c r="C348" i="9"/>
  <c r="C349" i="9"/>
  <c r="C350" i="9"/>
  <c r="G350" i="9" s="1"/>
  <c r="C351" i="9"/>
  <c r="C352" i="9"/>
  <c r="C353" i="9"/>
  <c r="C354" i="9"/>
  <c r="C355" i="9"/>
  <c r="C356" i="9"/>
  <c r="C357" i="9"/>
  <c r="C358" i="9"/>
  <c r="C359" i="9"/>
  <c r="C360" i="9"/>
  <c r="C361" i="9"/>
  <c r="C362" i="9"/>
  <c r="C363" i="9"/>
  <c r="C364" i="9"/>
  <c r="C365" i="9"/>
  <c r="C366" i="9"/>
  <c r="C367" i="9"/>
  <c r="C368" i="9"/>
  <c r="C369" i="9"/>
  <c r="G369" i="9" s="1"/>
  <c r="C370" i="9"/>
  <c r="F370" i="9" s="1"/>
  <c r="C371" i="9"/>
  <c r="C372" i="9"/>
  <c r="C373" i="9"/>
  <c r="C374" i="9"/>
  <c r="C375" i="9"/>
  <c r="C376" i="9"/>
  <c r="C377" i="9"/>
  <c r="C378" i="9"/>
  <c r="C379" i="9"/>
  <c r="C380" i="9"/>
  <c r="C381" i="9"/>
  <c r="C382" i="9"/>
  <c r="C383" i="9"/>
  <c r="C384" i="9"/>
  <c r="C385" i="9"/>
  <c r="C386" i="9"/>
  <c r="C387" i="9"/>
  <c r="C388" i="9"/>
  <c r="C389" i="9"/>
  <c r="C390" i="9"/>
  <c r="C391" i="9"/>
  <c r="C392" i="9"/>
  <c r="C393" i="9"/>
  <c r="C394" i="9"/>
  <c r="F394" i="9" s="1"/>
  <c r="C395" i="9"/>
  <c r="C396" i="9"/>
  <c r="C397" i="9"/>
  <c r="C398" i="9"/>
  <c r="G398" i="9" s="1"/>
  <c r="C399" i="9"/>
  <c r="C400" i="9"/>
  <c r="C401" i="9"/>
  <c r="C402" i="9"/>
  <c r="C403" i="9"/>
  <c r="C404" i="9"/>
  <c r="F404" i="9" s="1"/>
  <c r="C405" i="9"/>
  <c r="G405" i="9" s="1"/>
  <c r="C406" i="9"/>
  <c r="C407" i="9"/>
  <c r="C408" i="9"/>
  <c r="C409" i="9"/>
  <c r="C410" i="9"/>
  <c r="C411" i="9"/>
  <c r="C412" i="9"/>
  <c r="C413" i="9"/>
  <c r="G413" i="9" s="1"/>
  <c r="C414" i="9"/>
  <c r="C415" i="9"/>
  <c r="C416" i="9"/>
  <c r="C417" i="9"/>
  <c r="C418" i="9"/>
  <c r="G418" i="9" s="1"/>
  <c r="C419" i="9"/>
  <c r="C420" i="9"/>
  <c r="C421" i="9"/>
  <c r="C422" i="9"/>
  <c r="C423" i="9"/>
  <c r="C424" i="9"/>
  <c r="C425" i="9"/>
  <c r="C426" i="9"/>
  <c r="C427" i="9"/>
  <c r="C428" i="9"/>
  <c r="F428" i="9" s="1"/>
  <c r="C429" i="9"/>
  <c r="C430" i="9"/>
  <c r="C431" i="9"/>
  <c r="C432" i="9"/>
  <c r="C433" i="9"/>
  <c r="C434" i="9"/>
  <c r="C435" i="9"/>
  <c r="C436" i="9"/>
  <c r="C437" i="9"/>
  <c r="C438" i="9"/>
  <c r="C439" i="9"/>
  <c r="C440" i="9"/>
  <c r="C441" i="9"/>
  <c r="C442" i="9"/>
  <c r="C443" i="9"/>
  <c r="C444" i="9"/>
  <c r="C445" i="9"/>
  <c r="C446" i="9"/>
  <c r="C447" i="9"/>
  <c r="C448" i="9"/>
  <c r="C449" i="9"/>
  <c r="C450" i="9"/>
  <c r="C451" i="9"/>
  <c r="C452" i="9"/>
  <c r="F452" i="9" s="1"/>
  <c r="C453" i="9"/>
  <c r="F453" i="9" s="1"/>
  <c r="C454" i="9"/>
  <c r="G454" i="9" s="1"/>
  <c r="C455" i="9"/>
  <c r="C456" i="9"/>
  <c r="C457" i="9"/>
  <c r="C458" i="9"/>
  <c r="G458" i="9" s="1"/>
  <c r="C459" i="9"/>
  <c r="G459" i="9" s="1"/>
  <c r="C460" i="9"/>
  <c r="C461" i="9"/>
  <c r="G461" i="9" s="1"/>
  <c r="C462" i="9"/>
  <c r="C463" i="9"/>
  <c r="C464" i="9"/>
  <c r="C465" i="9"/>
  <c r="C466" i="9"/>
  <c r="G466" i="9" s="1"/>
  <c r="C467" i="9"/>
  <c r="C468" i="9"/>
  <c r="C469" i="9"/>
  <c r="C470" i="9"/>
  <c r="C471" i="9"/>
  <c r="C472" i="9"/>
  <c r="C473" i="9"/>
  <c r="G473" i="9" s="1"/>
  <c r="C474" i="9"/>
  <c r="C475" i="9"/>
  <c r="C476" i="9"/>
  <c r="G476" i="9" s="1"/>
  <c r="C477" i="9"/>
  <c r="F477" i="9" s="1"/>
  <c r="C478" i="9"/>
  <c r="C479" i="9"/>
  <c r="C480" i="9"/>
  <c r="C481" i="9"/>
  <c r="C482" i="9"/>
  <c r="C483" i="9"/>
  <c r="C484" i="9"/>
  <c r="C485" i="9"/>
  <c r="C486" i="9"/>
  <c r="C487"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9"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9" i="9"/>
  <c r="A10" i="9"/>
  <c r="A11" i="9"/>
  <c r="A12" i="9"/>
  <c r="A13" i="9"/>
  <c r="A14" i="9"/>
  <c r="A15" i="9"/>
  <c r="E8" i="9"/>
  <c r="D8" i="9"/>
  <c r="C8" i="9"/>
  <c r="B8" i="9"/>
  <c r="A8" i="9"/>
  <c r="E6" i="9"/>
  <c r="E5" i="9"/>
  <c r="E4" i="9"/>
  <c r="F446" i="9" s="1"/>
  <c r="E3" i="9"/>
  <c r="G124" i="9" s="1"/>
  <c r="G130" i="9" l="1"/>
  <c r="F392" i="9"/>
  <c r="F38" i="9"/>
  <c r="F333" i="9"/>
  <c r="F374" i="9"/>
  <c r="G32" i="9"/>
  <c r="F393" i="9"/>
  <c r="F57" i="9"/>
  <c r="G394" i="9"/>
  <c r="G68" i="9"/>
  <c r="G262" i="9"/>
  <c r="F82" i="9"/>
  <c r="F22" i="9"/>
  <c r="F377" i="9"/>
  <c r="F406" i="9"/>
  <c r="F154" i="9"/>
  <c r="F285" i="9"/>
  <c r="F21" i="9"/>
  <c r="F484" i="9"/>
  <c r="G381" i="9"/>
  <c r="F309" i="9"/>
  <c r="G237" i="9"/>
  <c r="F44" i="9"/>
  <c r="F122" i="9"/>
  <c r="G375" i="9"/>
  <c r="F356" i="9"/>
  <c r="F308" i="9"/>
  <c r="G140" i="9"/>
  <c r="G374" i="9"/>
  <c r="G248" i="9"/>
  <c r="F354" i="9"/>
  <c r="G477" i="9"/>
  <c r="G370" i="9"/>
  <c r="G309" i="9"/>
  <c r="G93" i="9"/>
  <c r="F329" i="9"/>
  <c r="F41" i="9"/>
  <c r="F148" i="9"/>
  <c r="G356" i="9"/>
  <c r="G158" i="9"/>
  <c r="G484" i="9"/>
  <c r="G100" i="9"/>
  <c r="F471" i="9"/>
  <c r="F375" i="9"/>
  <c r="F243" i="9"/>
  <c r="F195" i="9"/>
  <c r="F147" i="9"/>
  <c r="F99" i="9"/>
  <c r="F63" i="9"/>
  <c r="G154" i="9"/>
  <c r="G448" i="9"/>
  <c r="G352" i="9"/>
  <c r="G160" i="9"/>
  <c r="G112" i="9"/>
  <c r="F405" i="9"/>
  <c r="F214" i="9"/>
  <c r="G406" i="9"/>
  <c r="F296" i="9"/>
  <c r="G266" i="9"/>
  <c r="F141" i="9"/>
  <c r="F466" i="9"/>
  <c r="G392" i="9"/>
  <c r="G44" i="9"/>
  <c r="F310" i="9"/>
  <c r="F178" i="9"/>
  <c r="F14" i="9"/>
  <c r="G111" i="9"/>
  <c r="F429" i="9"/>
  <c r="G116" i="9"/>
  <c r="F369" i="9"/>
  <c r="G310" i="9"/>
  <c r="F8" i="9"/>
  <c r="G40" i="9"/>
  <c r="F447" i="9"/>
  <c r="F327" i="9"/>
  <c r="F39" i="9"/>
  <c r="F345" i="9"/>
  <c r="F218" i="9"/>
  <c r="G75" i="9"/>
  <c r="G346" i="9"/>
  <c r="F164" i="9"/>
  <c r="G200" i="9"/>
  <c r="G152" i="9"/>
  <c r="F278" i="9"/>
  <c r="F140" i="9"/>
  <c r="G298" i="9"/>
  <c r="F465" i="9"/>
  <c r="F123" i="9"/>
  <c r="G172" i="9"/>
  <c r="F153" i="9"/>
  <c r="G440" i="9"/>
  <c r="F332" i="9"/>
  <c r="F20" i="9"/>
  <c r="F250" i="9"/>
  <c r="G236" i="9"/>
  <c r="F200" i="9"/>
  <c r="F152" i="9"/>
  <c r="F350" i="9"/>
  <c r="F100" i="9"/>
  <c r="F237" i="9"/>
  <c r="F483" i="9"/>
  <c r="F423" i="9"/>
  <c r="F351" i="9"/>
  <c r="F219" i="9"/>
  <c r="F87" i="9"/>
  <c r="F297" i="9"/>
  <c r="F165" i="9"/>
  <c r="F58" i="9"/>
  <c r="F485" i="9"/>
  <c r="G329" i="9"/>
  <c r="F281" i="9"/>
  <c r="G245" i="9"/>
  <c r="G197" i="9"/>
  <c r="F185" i="9"/>
  <c r="F137" i="9"/>
  <c r="G472" i="9"/>
  <c r="F436" i="9"/>
  <c r="F412" i="9"/>
  <c r="F376" i="9"/>
  <c r="F316" i="9"/>
  <c r="F280" i="9"/>
  <c r="F244" i="9"/>
  <c r="G220" i="9"/>
  <c r="F184" i="9"/>
  <c r="F172" i="9"/>
  <c r="F88" i="9"/>
  <c r="G76" i="9"/>
  <c r="G52" i="9"/>
  <c r="G487" i="9"/>
  <c r="F487" i="9"/>
  <c r="F475" i="9"/>
  <c r="G475" i="9"/>
  <c r="G463" i="9"/>
  <c r="F463" i="9"/>
  <c r="G451" i="9"/>
  <c r="F451" i="9"/>
  <c r="F439" i="9"/>
  <c r="G439" i="9"/>
  <c r="F427" i="9"/>
  <c r="G427" i="9"/>
  <c r="G415" i="9"/>
  <c r="F415" i="9"/>
  <c r="G403" i="9"/>
  <c r="F403" i="9"/>
  <c r="G391" i="9"/>
  <c r="F391" i="9"/>
  <c r="G379" i="9"/>
  <c r="F379" i="9"/>
  <c r="G367" i="9"/>
  <c r="F367" i="9"/>
  <c r="F355" i="9"/>
  <c r="G355" i="9"/>
  <c r="F343" i="9"/>
  <c r="G343" i="9"/>
  <c r="F331" i="9"/>
  <c r="G331" i="9"/>
  <c r="G319" i="9"/>
  <c r="F319" i="9"/>
  <c r="F307" i="9"/>
  <c r="G307" i="9"/>
  <c r="G295" i="9"/>
  <c r="F295" i="9"/>
  <c r="F283" i="9"/>
  <c r="G283" i="9"/>
  <c r="G271" i="9"/>
  <c r="F271" i="9"/>
  <c r="F259" i="9"/>
  <c r="G259" i="9"/>
  <c r="F247" i="9"/>
  <c r="G247" i="9"/>
  <c r="G235" i="9"/>
  <c r="F235" i="9"/>
  <c r="G223" i="9"/>
  <c r="F223" i="9"/>
  <c r="G211" i="9"/>
  <c r="F211" i="9"/>
  <c r="F199" i="9"/>
  <c r="G199" i="9"/>
  <c r="G187" i="9"/>
  <c r="F187" i="9"/>
  <c r="G175" i="9"/>
  <c r="F175" i="9"/>
  <c r="F163" i="9"/>
  <c r="G163" i="9"/>
  <c r="F151" i="9"/>
  <c r="G151" i="9"/>
  <c r="G139" i="9"/>
  <c r="F139" i="9"/>
  <c r="G127" i="9"/>
  <c r="F127" i="9"/>
  <c r="G115" i="9"/>
  <c r="F115" i="9"/>
  <c r="G103" i="9"/>
  <c r="F103" i="9"/>
  <c r="F91" i="9"/>
  <c r="G91" i="9"/>
  <c r="G79" i="9"/>
  <c r="F79" i="9"/>
  <c r="G67" i="9"/>
  <c r="F67" i="9"/>
  <c r="F55" i="9"/>
  <c r="G55" i="9"/>
  <c r="F43" i="9"/>
  <c r="G43" i="9"/>
  <c r="F31" i="9"/>
  <c r="G31" i="9"/>
  <c r="F19" i="9"/>
  <c r="G19" i="9"/>
  <c r="G486" i="9"/>
  <c r="F486" i="9"/>
  <c r="F474" i="9"/>
  <c r="G474" i="9"/>
  <c r="G462" i="9"/>
  <c r="F462" i="9"/>
  <c r="G450" i="9"/>
  <c r="F450" i="9"/>
  <c r="F438" i="9"/>
  <c r="G438" i="9"/>
  <c r="G426" i="9"/>
  <c r="F426" i="9"/>
  <c r="G414" i="9"/>
  <c r="F414" i="9"/>
  <c r="G402" i="9"/>
  <c r="F402" i="9"/>
  <c r="F390" i="9"/>
  <c r="G390" i="9"/>
  <c r="G378" i="9"/>
  <c r="F378" i="9"/>
  <c r="F366" i="9"/>
  <c r="G366" i="9"/>
  <c r="G354" i="9"/>
  <c r="F342" i="9"/>
  <c r="G342" i="9"/>
  <c r="F330" i="9"/>
  <c r="G330" i="9"/>
  <c r="F318" i="9"/>
  <c r="G318" i="9"/>
  <c r="G306" i="9"/>
  <c r="F306" i="9"/>
  <c r="G294" i="9"/>
  <c r="F294" i="9"/>
  <c r="F282" i="9"/>
  <c r="G282" i="9"/>
  <c r="G270" i="9"/>
  <c r="F270" i="9"/>
  <c r="G258" i="9"/>
  <c r="F258" i="9"/>
  <c r="F246" i="9"/>
  <c r="G246" i="9"/>
  <c r="G234" i="9"/>
  <c r="F234" i="9"/>
  <c r="G222" i="9"/>
  <c r="F222" i="9"/>
  <c r="G210" i="9"/>
  <c r="F210" i="9"/>
  <c r="G198" i="9"/>
  <c r="F198" i="9"/>
  <c r="G186" i="9"/>
  <c r="F186" i="9"/>
  <c r="G174" i="9"/>
  <c r="F174" i="9"/>
  <c r="G162" i="9"/>
  <c r="F162" i="9"/>
  <c r="G150" i="9"/>
  <c r="F150" i="9"/>
  <c r="F138" i="9"/>
  <c r="G138" i="9"/>
  <c r="G126" i="9"/>
  <c r="F126" i="9"/>
  <c r="G114" i="9"/>
  <c r="F114" i="9"/>
  <c r="G102" i="9"/>
  <c r="F102" i="9"/>
  <c r="F90" i="9"/>
  <c r="G90" i="9"/>
  <c r="G78" i="9"/>
  <c r="F78" i="9"/>
  <c r="F66" i="9"/>
  <c r="G66" i="9"/>
  <c r="G54" i="9"/>
  <c r="F54" i="9"/>
  <c r="F42" i="9"/>
  <c r="G42" i="9"/>
  <c r="G30" i="9"/>
  <c r="F30" i="9"/>
  <c r="F18" i="9"/>
  <c r="I11" i="6" s="1"/>
  <c r="G18" i="9"/>
  <c r="G437" i="9"/>
  <c r="G377" i="9"/>
  <c r="F461" i="9"/>
  <c r="G389" i="9"/>
  <c r="F365" i="9"/>
  <c r="F317" i="9"/>
  <c r="F293" i="9"/>
  <c r="G269" i="9"/>
  <c r="G221" i="9"/>
  <c r="F101" i="9"/>
  <c r="F89" i="9"/>
  <c r="F460" i="9"/>
  <c r="F424" i="9"/>
  <c r="F388" i="9"/>
  <c r="G364" i="9"/>
  <c r="F340" i="9"/>
  <c r="G328" i="9"/>
  <c r="G292" i="9"/>
  <c r="G268" i="9"/>
  <c r="F232" i="9"/>
  <c r="G196" i="9"/>
  <c r="F136" i="9"/>
  <c r="F124" i="9"/>
  <c r="G449" i="9"/>
  <c r="F449" i="9"/>
  <c r="F437" i="9"/>
  <c r="F353" i="9"/>
  <c r="G353" i="9"/>
  <c r="F341" i="9"/>
  <c r="G341" i="9"/>
  <c r="F305" i="9"/>
  <c r="G305" i="9"/>
  <c r="G257" i="9"/>
  <c r="F257" i="9"/>
  <c r="G233" i="9"/>
  <c r="G209" i="9"/>
  <c r="F209" i="9"/>
  <c r="G161" i="9"/>
  <c r="F161" i="9"/>
  <c r="F149" i="9"/>
  <c r="G149" i="9"/>
  <c r="G113" i="9"/>
  <c r="F113" i="9"/>
  <c r="G65" i="9"/>
  <c r="F65" i="9"/>
  <c r="G41" i="9"/>
  <c r="G29" i="9"/>
  <c r="F29" i="9"/>
  <c r="G16" i="9"/>
  <c r="F328" i="9"/>
  <c r="F221" i="9"/>
  <c r="F173" i="9"/>
  <c r="G460" i="9"/>
  <c r="G436" i="9"/>
  <c r="G376" i="9"/>
  <c r="G137" i="9"/>
  <c r="G400" i="9"/>
  <c r="G256" i="9"/>
  <c r="G64" i="9"/>
  <c r="F16" i="9"/>
  <c r="F220" i="9"/>
  <c r="F197" i="9"/>
  <c r="G101" i="9"/>
  <c r="F269" i="9"/>
  <c r="F268" i="9"/>
  <c r="G185" i="9"/>
  <c r="G468" i="9"/>
  <c r="F468" i="9"/>
  <c r="G444" i="9"/>
  <c r="F444" i="9"/>
  <c r="G408" i="9"/>
  <c r="F408" i="9"/>
  <c r="G384" i="9"/>
  <c r="F384" i="9"/>
  <c r="G360" i="9"/>
  <c r="F360" i="9"/>
  <c r="G336" i="9"/>
  <c r="F336" i="9"/>
  <c r="G312" i="9"/>
  <c r="F312" i="9"/>
  <c r="G288" i="9"/>
  <c r="F288" i="9"/>
  <c r="G264" i="9"/>
  <c r="F264" i="9"/>
  <c r="G216" i="9"/>
  <c r="F216" i="9"/>
  <c r="G168" i="9"/>
  <c r="F168" i="9"/>
  <c r="G132" i="9"/>
  <c r="F132" i="9"/>
  <c r="G108" i="9"/>
  <c r="F108" i="9"/>
  <c r="G84" i="9"/>
  <c r="F84" i="9"/>
  <c r="G60" i="9"/>
  <c r="F60" i="9"/>
  <c r="G36" i="9"/>
  <c r="F36" i="9"/>
  <c r="G12" i="9"/>
  <c r="F12" i="9"/>
  <c r="F470" i="9"/>
  <c r="F292" i="9"/>
  <c r="F236" i="9"/>
  <c r="F86" i="9"/>
  <c r="F26" i="9"/>
  <c r="G365" i="9"/>
  <c r="G308" i="9"/>
  <c r="G281" i="9"/>
  <c r="G467" i="9"/>
  <c r="F467" i="9"/>
  <c r="G443" i="9"/>
  <c r="F443" i="9"/>
  <c r="G419" i="9"/>
  <c r="F419" i="9"/>
  <c r="G395" i="9"/>
  <c r="F395" i="9"/>
  <c r="G371" i="9"/>
  <c r="F371" i="9"/>
  <c r="G347" i="9"/>
  <c r="F347" i="9"/>
  <c r="G335" i="9"/>
  <c r="F335" i="9"/>
  <c r="G311" i="9"/>
  <c r="F311" i="9"/>
  <c r="G287" i="9"/>
  <c r="F287" i="9"/>
  <c r="G263" i="9"/>
  <c r="F263" i="9"/>
  <c r="G227" i="9"/>
  <c r="F227" i="9"/>
  <c r="G215" i="9"/>
  <c r="F215" i="9"/>
  <c r="G191" i="9"/>
  <c r="F191" i="9"/>
  <c r="G167" i="9"/>
  <c r="F167" i="9"/>
  <c r="G143" i="9"/>
  <c r="F143" i="9"/>
  <c r="G119" i="9"/>
  <c r="F119" i="9"/>
  <c r="G107" i="9"/>
  <c r="F107" i="9"/>
  <c r="G71" i="9"/>
  <c r="F71" i="9"/>
  <c r="G47" i="9"/>
  <c r="F47" i="9"/>
  <c r="G23" i="9"/>
  <c r="F23" i="9"/>
  <c r="F413" i="9"/>
  <c r="F314" i="9"/>
  <c r="F291" i="9"/>
  <c r="F159" i="9"/>
  <c r="G280" i="9"/>
  <c r="G183" i="9"/>
  <c r="G56" i="9"/>
  <c r="I12" i="6"/>
  <c r="B3" i="5"/>
  <c r="B7" i="6" s="1"/>
  <c r="E11" i="6" s="1"/>
  <c r="G478" i="9"/>
  <c r="F478" i="9"/>
  <c r="F454" i="9"/>
  <c r="G442" i="9"/>
  <c r="G430" i="9"/>
  <c r="F430" i="9"/>
  <c r="F418" i="9"/>
  <c r="G382" i="9"/>
  <c r="F382" i="9"/>
  <c r="F358" i="9"/>
  <c r="G358" i="9"/>
  <c r="G334" i="9"/>
  <c r="F334" i="9"/>
  <c r="F322" i="9"/>
  <c r="G286" i="9"/>
  <c r="F286" i="9"/>
  <c r="F262" i="9"/>
  <c r="G238" i="9"/>
  <c r="F238" i="9"/>
  <c r="F226" i="9"/>
  <c r="G190" i="9"/>
  <c r="F190" i="9"/>
  <c r="F166" i="9"/>
  <c r="G166" i="9"/>
  <c r="G142" i="9"/>
  <c r="F142" i="9"/>
  <c r="F130" i="9"/>
  <c r="G94" i="9"/>
  <c r="F94" i="9"/>
  <c r="G82" i="9"/>
  <c r="F70" i="9"/>
  <c r="F46" i="9"/>
  <c r="G46" i="9"/>
  <c r="G34" i="9"/>
  <c r="G10" i="9"/>
  <c r="F440" i="9"/>
  <c r="F389" i="9"/>
  <c r="F364" i="9"/>
  <c r="F183" i="9"/>
  <c r="F158" i="9"/>
  <c r="F135" i="9"/>
  <c r="F104" i="9"/>
  <c r="G363" i="9"/>
  <c r="G303" i="9"/>
  <c r="G89" i="9"/>
  <c r="G465" i="9"/>
  <c r="G441" i="9"/>
  <c r="G417" i="9"/>
  <c r="F417" i="9"/>
  <c r="G357" i="9"/>
  <c r="G333" i="9"/>
  <c r="G321" i="9"/>
  <c r="F321" i="9"/>
  <c r="G273" i="9"/>
  <c r="G249" i="9"/>
  <c r="G225" i="9"/>
  <c r="F225" i="9"/>
  <c r="G213" i="9"/>
  <c r="G189" i="9"/>
  <c r="G141" i="9"/>
  <c r="G129" i="9"/>
  <c r="F129" i="9"/>
  <c r="G81" i="9"/>
  <c r="F81" i="9"/>
  <c r="F69" i="9"/>
  <c r="G45" i="9"/>
  <c r="F45" i="9"/>
  <c r="F33" i="9"/>
  <c r="G33" i="9"/>
  <c r="G9" i="9"/>
  <c r="G88" i="9"/>
  <c r="G425" i="9"/>
  <c r="G401" i="9"/>
  <c r="F401" i="9"/>
  <c r="G317" i="9"/>
  <c r="F245" i="9"/>
  <c r="F53" i="9"/>
  <c r="F17" i="9"/>
  <c r="F40" i="9"/>
  <c r="G304" i="9"/>
  <c r="G208" i="9"/>
  <c r="G28" i="9"/>
  <c r="F473" i="9"/>
  <c r="F425" i="9"/>
  <c r="F196" i="9"/>
  <c r="G485" i="9"/>
  <c r="F472" i="9"/>
  <c r="G86" i="9"/>
  <c r="G278" i="9"/>
  <c r="G470" i="9"/>
  <c r="F134" i="9"/>
  <c r="F230" i="9"/>
  <c r="F326" i="9"/>
  <c r="F422" i="9"/>
  <c r="F459" i="9"/>
  <c r="G170" i="9"/>
  <c r="G254" i="9"/>
  <c r="G362" i="9"/>
  <c r="G446" i="9"/>
  <c r="F74" i="9"/>
  <c r="F171" i="9"/>
  <c r="F267" i="9"/>
  <c r="F363" i="9"/>
  <c r="G63" i="9"/>
  <c r="G87" i="9"/>
  <c r="G279" i="9"/>
  <c r="G480" i="9"/>
  <c r="F480" i="9"/>
  <c r="G456" i="9"/>
  <c r="F456" i="9"/>
  <c r="G432" i="9"/>
  <c r="F432" i="9"/>
  <c r="G420" i="9"/>
  <c r="F420" i="9"/>
  <c r="G396" i="9"/>
  <c r="F396" i="9"/>
  <c r="G372" i="9"/>
  <c r="F372" i="9"/>
  <c r="G348" i="9"/>
  <c r="F348" i="9"/>
  <c r="G324" i="9"/>
  <c r="F324" i="9"/>
  <c r="G300" i="9"/>
  <c r="F300" i="9"/>
  <c r="G276" i="9"/>
  <c r="F276" i="9"/>
  <c r="G252" i="9"/>
  <c r="F252" i="9"/>
  <c r="G240" i="9"/>
  <c r="F240" i="9"/>
  <c r="G228" i="9"/>
  <c r="F228" i="9"/>
  <c r="G204" i="9"/>
  <c r="F204" i="9"/>
  <c r="G192" i="9"/>
  <c r="F192" i="9"/>
  <c r="G180" i="9"/>
  <c r="F180" i="9"/>
  <c r="G156" i="9"/>
  <c r="F156" i="9"/>
  <c r="G144" i="9"/>
  <c r="F144" i="9"/>
  <c r="G120" i="9"/>
  <c r="F120" i="9"/>
  <c r="G96" i="9"/>
  <c r="F96" i="9"/>
  <c r="G72" i="9"/>
  <c r="F72" i="9"/>
  <c r="G48" i="9"/>
  <c r="F48" i="9"/>
  <c r="G24" i="9"/>
  <c r="F24" i="9"/>
  <c r="F442" i="9"/>
  <c r="F315" i="9"/>
  <c r="F261" i="9"/>
  <c r="F213" i="9"/>
  <c r="F106" i="9"/>
  <c r="F56" i="9"/>
  <c r="G422" i="9"/>
  <c r="G122" i="9"/>
  <c r="G479" i="9"/>
  <c r="F479" i="9"/>
  <c r="G455" i="9"/>
  <c r="F455" i="9"/>
  <c r="G431" i="9"/>
  <c r="F431" i="9"/>
  <c r="G407" i="9"/>
  <c r="F407" i="9"/>
  <c r="G383" i="9"/>
  <c r="F383" i="9"/>
  <c r="G359" i="9"/>
  <c r="F359" i="9"/>
  <c r="G323" i="9"/>
  <c r="F323" i="9"/>
  <c r="G299" i="9"/>
  <c r="F299" i="9"/>
  <c r="G275" i="9"/>
  <c r="F275" i="9"/>
  <c r="G251" i="9"/>
  <c r="F251" i="9"/>
  <c r="G239" i="9"/>
  <c r="F239" i="9"/>
  <c r="G203" i="9"/>
  <c r="F203" i="9"/>
  <c r="G179" i="9"/>
  <c r="F179" i="9"/>
  <c r="G155" i="9"/>
  <c r="F155" i="9"/>
  <c r="G131" i="9"/>
  <c r="F131" i="9"/>
  <c r="G95" i="9"/>
  <c r="F95" i="9"/>
  <c r="G83" i="9"/>
  <c r="F83" i="9"/>
  <c r="G59" i="9"/>
  <c r="F59" i="9"/>
  <c r="G35" i="9"/>
  <c r="F35" i="9"/>
  <c r="G11" i="9"/>
  <c r="F11" i="9"/>
  <c r="F441" i="9"/>
  <c r="F339" i="9"/>
  <c r="F260" i="9"/>
  <c r="F212" i="9"/>
  <c r="F105" i="9"/>
  <c r="G153" i="9"/>
  <c r="G20" i="9"/>
  <c r="F411" i="9"/>
  <c r="F357" i="9"/>
  <c r="F233" i="9"/>
  <c r="F202" i="9"/>
  <c r="F182" i="9"/>
  <c r="F77" i="9"/>
  <c r="G178" i="9"/>
  <c r="G8" i="9"/>
  <c r="F476" i="9"/>
  <c r="F464" i="9"/>
  <c r="G464" i="9"/>
  <c r="F416" i="9"/>
  <c r="G416" i="9"/>
  <c r="G404" i="9"/>
  <c r="G380" i="9"/>
  <c r="F380" i="9"/>
  <c r="G368" i="9"/>
  <c r="F368" i="9"/>
  <c r="G320" i="9"/>
  <c r="F320" i="9"/>
  <c r="G296" i="9"/>
  <c r="F284" i="9"/>
  <c r="G272" i="9"/>
  <c r="F272" i="9"/>
  <c r="G224" i="9"/>
  <c r="F224" i="9"/>
  <c r="F188" i="9"/>
  <c r="G188" i="9"/>
  <c r="G176" i="9"/>
  <c r="F176" i="9"/>
  <c r="G128" i="9"/>
  <c r="F128" i="9"/>
  <c r="F92" i="9"/>
  <c r="G80" i="9"/>
  <c r="F80" i="9"/>
  <c r="F32" i="9"/>
  <c r="F435" i="9"/>
  <c r="F410" i="9"/>
  <c r="F387" i="9"/>
  <c r="F255" i="9"/>
  <c r="F201" i="9"/>
  <c r="F125" i="9"/>
  <c r="F76" i="9"/>
  <c r="G53" i="9"/>
  <c r="G17" i="9"/>
  <c r="F381" i="9"/>
  <c r="F279" i="9"/>
  <c r="F254" i="9"/>
  <c r="F231" i="9"/>
  <c r="F177" i="9"/>
  <c r="F75" i="9"/>
  <c r="F15" i="9"/>
  <c r="G471" i="9"/>
  <c r="G327" i="9"/>
  <c r="F458" i="9"/>
  <c r="F399" i="9"/>
  <c r="F362" i="9"/>
  <c r="F303" i="9"/>
  <c r="F266" i="9"/>
  <c r="F207" i="9"/>
  <c r="F170" i="9"/>
  <c r="F111" i="9"/>
  <c r="F52" i="9"/>
  <c r="F28" i="9"/>
  <c r="G424" i="9"/>
  <c r="G340" i="9"/>
  <c r="G316" i="9"/>
  <c r="G232" i="9"/>
  <c r="G148" i="9"/>
  <c r="G14" i="9"/>
  <c r="G26" i="9"/>
  <c r="G38" i="9"/>
  <c r="G50" i="9"/>
  <c r="F386" i="9"/>
  <c r="F434" i="9"/>
  <c r="F482" i="9"/>
  <c r="G99" i="9"/>
  <c r="G147" i="9"/>
  <c r="G195" i="9"/>
  <c r="G291" i="9"/>
  <c r="G387" i="9"/>
  <c r="G483" i="9"/>
  <c r="G98" i="9"/>
  <c r="G146" i="9"/>
  <c r="G194" i="9"/>
  <c r="G242" i="9"/>
  <c r="G290" i="9"/>
  <c r="G338" i="9"/>
  <c r="G386" i="9"/>
  <c r="G434" i="9"/>
  <c r="G482" i="9"/>
  <c r="F50" i="9"/>
  <c r="F98" i="9"/>
  <c r="F146" i="9"/>
  <c r="F194" i="9"/>
  <c r="F242" i="9"/>
  <c r="F290" i="9"/>
  <c r="F338" i="9"/>
  <c r="G51" i="9"/>
  <c r="G243" i="9"/>
  <c r="G339" i="9"/>
  <c r="G435" i="9"/>
  <c r="F51" i="9"/>
  <c r="G481" i="9"/>
  <c r="F481" i="9"/>
  <c r="G469" i="9"/>
  <c r="F469" i="9"/>
  <c r="G457" i="9"/>
  <c r="F457" i="9"/>
  <c r="G445" i="9"/>
  <c r="F445" i="9"/>
  <c r="G433" i="9"/>
  <c r="F433" i="9"/>
  <c r="G421" i="9"/>
  <c r="F421" i="9"/>
  <c r="G409" i="9"/>
  <c r="F409" i="9"/>
  <c r="G397" i="9"/>
  <c r="F397" i="9"/>
  <c r="G385" i="9"/>
  <c r="F385" i="9"/>
  <c r="G373" i="9"/>
  <c r="F373" i="9"/>
  <c r="G361" i="9"/>
  <c r="F361" i="9"/>
  <c r="G349" i="9"/>
  <c r="F349" i="9"/>
  <c r="G337" i="9"/>
  <c r="F337" i="9"/>
  <c r="G325" i="9"/>
  <c r="F325" i="9"/>
  <c r="G313" i="9"/>
  <c r="F313" i="9"/>
  <c r="G301" i="9"/>
  <c r="F301" i="9"/>
  <c r="G289" i="9"/>
  <c r="F289" i="9"/>
  <c r="G277" i="9"/>
  <c r="F277" i="9"/>
  <c r="G265" i="9"/>
  <c r="F265" i="9"/>
  <c r="G253" i="9"/>
  <c r="F253" i="9"/>
  <c r="G241" i="9"/>
  <c r="F241" i="9"/>
  <c r="G229" i="9"/>
  <c r="F229" i="9"/>
  <c r="G217" i="9"/>
  <c r="F217" i="9"/>
  <c r="G205" i="9"/>
  <c r="F205" i="9"/>
  <c r="G193" i="9"/>
  <c r="F193" i="9"/>
  <c r="G181" i="9"/>
  <c r="F181" i="9"/>
  <c r="G169" i="9"/>
  <c r="F169" i="9"/>
  <c r="G157" i="9"/>
  <c r="F157" i="9"/>
  <c r="G145" i="9"/>
  <c r="F145" i="9"/>
  <c r="G133" i="9"/>
  <c r="F133" i="9"/>
  <c r="G121" i="9"/>
  <c r="F121" i="9"/>
  <c r="G109" i="9"/>
  <c r="F109" i="9"/>
  <c r="G97" i="9"/>
  <c r="F97" i="9"/>
  <c r="G85" i="9"/>
  <c r="F85" i="9"/>
  <c r="G73" i="9"/>
  <c r="F73" i="9"/>
  <c r="G61" i="9"/>
  <c r="F61" i="9"/>
  <c r="G49" i="9"/>
  <c r="F49" i="9"/>
  <c r="G37" i="9"/>
  <c r="F37" i="9"/>
  <c r="G25" i="9"/>
  <c r="F25" i="9"/>
  <c r="G13" i="9"/>
  <c r="F13" i="9"/>
  <c r="F398" i="9"/>
  <c r="F302" i="9"/>
  <c r="F206" i="9"/>
  <c r="F110" i="9"/>
  <c r="F27" i="9"/>
  <c r="G423" i="9"/>
  <c r="G399" i="9"/>
  <c r="G315" i="9"/>
  <c r="G231" i="9"/>
  <c r="G207" i="9"/>
  <c r="G123" i="9"/>
  <c r="G39" i="9"/>
  <c r="G27" i="9"/>
  <c r="G15" i="9"/>
  <c r="F448" i="9"/>
  <c r="F400" i="9"/>
  <c r="F352" i="9"/>
  <c r="F304" i="9"/>
  <c r="F256" i="9"/>
  <c r="F208" i="9"/>
  <c r="F160" i="9"/>
  <c r="F112" i="9"/>
  <c r="F64" i="9"/>
  <c r="B4" i="5" l="1"/>
  <c r="B9" i="6" s="1"/>
  <c r="B5" i="5"/>
  <c r="B11" i="6" s="1"/>
  <c r="B6" i="5" l="1"/>
  <c r="B13" i="6" s="1"/>
  <c r="E14" i="6" s="1"/>
  <c r="E13" i="6"/>
  <c r="E7" i="6"/>
  <c r="E6" i="6"/>
  <c r="E12" i="6"/>
</calcChain>
</file>

<file path=xl/sharedStrings.xml><?xml version="1.0" encoding="utf-8"?>
<sst xmlns="http://schemas.openxmlformats.org/spreadsheetml/2006/main" count="3484" uniqueCount="1321">
  <si>
    <t>Student_ID</t>
  </si>
  <si>
    <t>Student_Name</t>
  </si>
  <si>
    <t>Degree</t>
  </si>
  <si>
    <t>Specialization</t>
  </si>
  <si>
    <t>CGPA</t>
  </si>
  <si>
    <t>10th_Percentage</t>
  </si>
  <si>
    <t>12th_Percentage</t>
  </si>
  <si>
    <t>Active_Backlogs</t>
  </si>
  <si>
    <t>Skills</t>
  </si>
  <si>
    <t>Graduation_Year</t>
  </si>
  <si>
    <t>Placement_Status</t>
  </si>
  <si>
    <t>Company_Placed</t>
  </si>
  <si>
    <t>Package_LPA</t>
  </si>
  <si>
    <t>STU0001</t>
  </si>
  <si>
    <t>Aarav Mishra</t>
  </si>
  <si>
    <t>MCA</t>
  </si>
  <si>
    <t>Computer Applications</t>
  </si>
  <si>
    <t>Git, JavaScript</t>
  </si>
  <si>
    <t>Placed</t>
  </si>
  <si>
    <t>Accenture</t>
  </si>
  <si>
    <t>STU0002</t>
  </si>
  <si>
    <t>Akash Desai</t>
  </si>
  <si>
    <t>BCA</t>
  </si>
  <si>
    <t>Web Technology</t>
  </si>
  <si>
    <t>Python, JavaScript</t>
  </si>
  <si>
    <t>SAP Labs</t>
  </si>
  <si>
    <t>STU0003</t>
  </si>
  <si>
    <t>Neha Singh</t>
  </si>
  <si>
    <t>Data Science</t>
  </si>
  <si>
    <t>JavaScript, SQL</t>
  </si>
  <si>
    <t>In Process</t>
  </si>
  <si>
    <t>STU0004</t>
  </si>
  <si>
    <t>Kavya Singh</t>
  </si>
  <si>
    <t>SQL, JavaScript, Power BI</t>
  </si>
  <si>
    <t>Not Placed</t>
  </si>
  <si>
    <t>STU0005</t>
  </si>
  <si>
    <t>Rahul Gupta</t>
  </si>
  <si>
    <t>Data Analysis, Java, Python</t>
  </si>
  <si>
    <t>Mindtree</t>
  </si>
  <si>
    <t>STU0006</t>
  </si>
  <si>
    <t>Nikhil Shetty</t>
  </si>
  <si>
    <t>B.Tech</t>
  </si>
  <si>
    <t>Computer Science</t>
  </si>
  <si>
    <t>Git, HTML/CSS, Java</t>
  </si>
  <si>
    <t>STU0007</t>
  </si>
  <si>
    <t>Bhavana Bhat</t>
  </si>
  <si>
    <t>Information Science</t>
  </si>
  <si>
    <t>HTML/CSS, Java, Python, Power BI, Data Analysis</t>
  </si>
  <si>
    <t>TCS</t>
  </si>
  <si>
    <t>STU0008</t>
  </si>
  <si>
    <t>Ananya Hegde</t>
  </si>
  <si>
    <t>SQL, Data Analysis</t>
  </si>
  <si>
    <t>STU0009</t>
  </si>
  <si>
    <t>Arjun Singh</t>
  </si>
  <si>
    <t>B.E</t>
  </si>
  <si>
    <t>Data Analysis, SQL, Power BI</t>
  </si>
  <si>
    <t>STU0010</t>
  </si>
  <si>
    <t>Akash Gowda</t>
  </si>
  <si>
    <t>Excel, SQL, HTML/CSS, JavaScript, Python</t>
  </si>
  <si>
    <t>IBM</t>
  </si>
  <si>
    <t>STU0011</t>
  </si>
  <si>
    <t>Ishita Desai</t>
  </si>
  <si>
    <t>Cloud Computing</t>
  </si>
  <si>
    <t>Data Analysis, JavaScript, Java, Power BI</t>
  </si>
  <si>
    <t>STU0012</t>
  </si>
  <si>
    <t>Aditi Gupta</t>
  </si>
  <si>
    <t>Git, Data Analysis</t>
  </si>
  <si>
    <t>STU0013</t>
  </si>
  <si>
    <t>Ananya Bhat</t>
  </si>
  <si>
    <t>Data Analysis, Python, React</t>
  </si>
  <si>
    <t>Deloitte</t>
  </si>
  <si>
    <t>STU0014</t>
  </si>
  <si>
    <t>Divya Nair</t>
  </si>
  <si>
    <t>Excel, JavaScript</t>
  </si>
  <si>
    <t>STU0015</t>
  </si>
  <si>
    <t>Vikas Sharma</t>
  </si>
  <si>
    <t>React, Data Analysis</t>
  </si>
  <si>
    <t>STU0016</t>
  </si>
  <si>
    <t>Ishita Bhat</t>
  </si>
  <si>
    <t/>
  </si>
  <si>
    <t>STU0017</t>
  </si>
  <si>
    <t>Bhavana Patil</t>
  </si>
  <si>
    <t>HTML/CSS, Excel</t>
  </si>
  <si>
    <t>STU0018</t>
  </si>
  <si>
    <t>Karan Joshi</t>
  </si>
  <si>
    <t>Git, Excel, SQL</t>
  </si>
  <si>
    <t>STU0019</t>
  </si>
  <si>
    <t>Akash Mishra</t>
  </si>
  <si>
    <t>React, HTML/CSS, SQL, Excel</t>
  </si>
  <si>
    <t>STU0020</t>
  </si>
  <si>
    <t>Pooja Sharma</t>
  </si>
  <si>
    <t>Power BI, Python, React, JavaScript</t>
  </si>
  <si>
    <t>STU0021</t>
  </si>
  <si>
    <t>Pooja Gowda</t>
  </si>
  <si>
    <t>Power BI, Git, Java</t>
  </si>
  <si>
    <t>Oracle</t>
  </si>
  <si>
    <t>STU0022</t>
  </si>
  <si>
    <t>Ananya Reddy</t>
  </si>
  <si>
    <t>Power BI, Python, React</t>
  </si>
  <si>
    <t>STU0023</t>
  </si>
  <si>
    <t>Power BI, HTML/CSS</t>
  </si>
  <si>
    <t>STU0024</t>
  </si>
  <si>
    <t>Aarav Kulkarni</t>
  </si>
  <si>
    <t>Git; Python; Java; JavaScript; SQL</t>
  </si>
  <si>
    <t>STU0025</t>
  </si>
  <si>
    <t>Kavya Hegde</t>
  </si>
  <si>
    <t>DATA SCIENCE</t>
  </si>
  <si>
    <t>JavaScript, Excel</t>
  </si>
  <si>
    <t>Zoho</t>
  </si>
  <si>
    <t>STU0026</t>
  </si>
  <si>
    <t>Ananya Joshi</t>
  </si>
  <si>
    <t>HTML/CSS, Data Analysis, JavaScript, Git</t>
  </si>
  <si>
    <t>STU0027</t>
  </si>
  <si>
    <t>Aarav Verma</t>
  </si>
  <si>
    <t>JavaScript, Data Analysis, SQL, Java</t>
  </si>
  <si>
    <t>Infosys</t>
  </si>
  <si>
    <t>STU0028</t>
  </si>
  <si>
    <t>Rahul Shetty</t>
  </si>
  <si>
    <t>Data Analytics</t>
  </si>
  <si>
    <t>Power BI, Data Analysis</t>
  </si>
  <si>
    <t>STU0029</t>
  </si>
  <si>
    <t>Karan Naik</t>
  </si>
  <si>
    <t>JavaScript, Data Analysis, Excel, Python</t>
  </si>
  <si>
    <t>STU0030</t>
  </si>
  <si>
    <t>Shreya Hegde</t>
  </si>
  <si>
    <t>SQL, Power BI, HTML/CSS</t>
  </si>
  <si>
    <t>STU0031</t>
  </si>
  <si>
    <t>Sneha Desai</t>
  </si>
  <si>
    <t>React, JavaScript</t>
  </si>
  <si>
    <t>STU0032</t>
  </si>
  <si>
    <t>Nikhil Patil</t>
  </si>
  <si>
    <t>JavaScript, Java</t>
  </si>
  <si>
    <t>STU0033</t>
  </si>
  <si>
    <t>Suraj Gowda</t>
  </si>
  <si>
    <t>React, Data Analysis, JavaScript, Git</t>
  </si>
  <si>
    <t>STU0034</t>
  </si>
  <si>
    <t>Akash Shetty</t>
  </si>
  <si>
    <t>Java, Power BI, React, Excel, HTML/CSS</t>
  </si>
  <si>
    <t>Capgemini</t>
  </si>
  <si>
    <t>STU0035</t>
  </si>
  <si>
    <t>Sneha Sharma</t>
  </si>
  <si>
    <t>Data Analysis, React, JavaScript, Excel</t>
  </si>
  <si>
    <t>STU0036</t>
  </si>
  <si>
    <t>Karan Desai</t>
  </si>
  <si>
    <t>Data Analysis, Git, Java, React, SQL</t>
  </si>
  <si>
    <t>STU0037</t>
  </si>
  <si>
    <t>Harsh Desai</t>
  </si>
  <si>
    <t>SQL, JavaScript</t>
  </si>
  <si>
    <t>STU0038</t>
  </si>
  <si>
    <t>Divya Reddy</t>
  </si>
  <si>
    <t>Power BI, SQL, React, Excel, HTML/CSS</t>
  </si>
  <si>
    <t>STU0039</t>
  </si>
  <si>
    <t>Rohan Rao</t>
  </si>
  <si>
    <t>React, SQL, Java</t>
  </si>
  <si>
    <t>STU0040</t>
  </si>
  <si>
    <t>Yash Jain</t>
  </si>
  <si>
    <t>JavaScript; Java; SQL; Power BI; HTML/CSS</t>
  </si>
  <si>
    <t>Bosch</t>
  </si>
  <si>
    <t>STU0041</t>
  </si>
  <si>
    <t>Sneha Shetty</t>
  </si>
  <si>
    <t>Excel, JavaScript, React, Git</t>
  </si>
  <si>
    <t>STU0042</t>
  </si>
  <si>
    <t>Tanvi Naik</t>
  </si>
  <si>
    <t>React, JavaScript, Power BI, Python, SQL</t>
  </si>
  <si>
    <t>STU0043</t>
  </si>
  <si>
    <t>Divya Bhat</t>
  </si>
  <si>
    <t>HTML/CSS, Power BI, Data Analysis, React</t>
  </si>
  <si>
    <t>STU0044</t>
  </si>
  <si>
    <t>Shreya Pillai</t>
  </si>
  <si>
    <t>Electronics</t>
  </si>
  <si>
    <t>SQL, Power BI</t>
  </si>
  <si>
    <t>STU0045</t>
  </si>
  <si>
    <t>Ananya Mishra</t>
  </si>
  <si>
    <t>React, Power BI, Data Analysis, Python</t>
  </si>
  <si>
    <t>STU0046</t>
  </si>
  <si>
    <t>SQL, Java, Power BI, Git</t>
  </si>
  <si>
    <t>STU0047</t>
  </si>
  <si>
    <t>Yash Gowda</t>
  </si>
  <si>
    <t>SQL, Excel, Power BI, Java, JavaScript</t>
  </si>
  <si>
    <t>STU0048</t>
  </si>
  <si>
    <t>Rohan Jain</t>
  </si>
  <si>
    <t>Git, Power BI, SQL</t>
  </si>
  <si>
    <t>STU0049</t>
  </si>
  <si>
    <t>Bhavana Mishra</t>
  </si>
  <si>
    <t>Power BI, Excel, SQL, JavaScript, React</t>
  </si>
  <si>
    <t>STU0050</t>
  </si>
  <si>
    <t>Sanjay Pillai</t>
  </si>
  <si>
    <t>Power BI, Git, React</t>
  </si>
  <si>
    <t>Cognizant</t>
  </si>
  <si>
    <t>STU0051</t>
  </si>
  <si>
    <t>Pranav Hegde</t>
  </si>
  <si>
    <t>SQL, Excel, Python</t>
  </si>
  <si>
    <t>STU0052</t>
  </si>
  <si>
    <t>React, SQL, Excel, Java, HTML/CSS</t>
  </si>
  <si>
    <t>STU0053</t>
  </si>
  <si>
    <t>Shreya Rao</t>
  </si>
  <si>
    <t>Power BI, Python, JavaScript, HTML/CSS, Java</t>
  </si>
  <si>
    <t>STU0054</t>
  </si>
  <si>
    <t>React, SQL</t>
  </si>
  <si>
    <t>STU0055</t>
  </si>
  <si>
    <t>Nisha Rao</t>
  </si>
  <si>
    <t>Excel, Java, Power BI, React, SQL</t>
  </si>
  <si>
    <t>STU0056</t>
  </si>
  <si>
    <t>Pooja Joshi</t>
  </si>
  <si>
    <t>SQL; Java; Git; Data Analysis; Excel</t>
  </si>
  <si>
    <t>STU0057</t>
  </si>
  <si>
    <t>SQL, Power BI, JavaScript</t>
  </si>
  <si>
    <t>STU0058</t>
  </si>
  <si>
    <t>Deepak Gupta</t>
  </si>
  <si>
    <t>AI &amp; ML</t>
  </si>
  <si>
    <t>Data Analysis, React, HTML/CSS, Python, Power BI</t>
  </si>
  <si>
    <t>STU0059</t>
  </si>
  <si>
    <t>Yash Naik</t>
  </si>
  <si>
    <t>JavaScript, Python, React, Excel, SQL</t>
  </si>
  <si>
    <t>STU0060</t>
  </si>
  <si>
    <t>Akash Kumar</t>
  </si>
  <si>
    <t>SQL, React, Power BI</t>
  </si>
  <si>
    <t>STU0061</t>
  </si>
  <si>
    <t>Ananya Rao</t>
  </si>
  <si>
    <t>Java, Power BI</t>
  </si>
  <si>
    <t>STU0062</t>
  </si>
  <si>
    <t>Varun Kulkarni</t>
  </si>
  <si>
    <t>HTML/CSS, Git, JavaScript, SQL</t>
  </si>
  <si>
    <t>STU0063</t>
  </si>
  <si>
    <t>Neha Hegde</t>
  </si>
  <si>
    <t>Java, React, Power BI</t>
  </si>
  <si>
    <t>STU0064</t>
  </si>
  <si>
    <t>Riya Hegde</t>
  </si>
  <si>
    <t>Power BI, React, Git, SQL, Java</t>
  </si>
  <si>
    <t>STU0065</t>
  </si>
  <si>
    <t>Rohan Singh</t>
  </si>
  <si>
    <t>Git, React</t>
  </si>
  <si>
    <t>STU0066</t>
  </si>
  <si>
    <t>Akash Hegde</t>
  </si>
  <si>
    <t>SQL, Excel, Power BI</t>
  </si>
  <si>
    <t>STU0067</t>
  </si>
  <si>
    <t>Nikhil Reddy</t>
  </si>
  <si>
    <t>Python, Power BI, React, JavaScript</t>
  </si>
  <si>
    <t>STU0068</t>
  </si>
  <si>
    <t>Suraj Joshi</t>
  </si>
  <si>
    <t>SQL, JavaScript, Excel, Python</t>
  </si>
  <si>
    <t>STU0069</t>
  </si>
  <si>
    <t>Sanjay Bhat</t>
  </si>
  <si>
    <t>Git, Java, SQL, HTML/CSS</t>
  </si>
  <si>
    <t>STU0070</t>
  </si>
  <si>
    <t>Sneha Mishra</t>
  </si>
  <si>
    <t>Data Analysis, Python, JavaScript</t>
  </si>
  <si>
    <t>STU0071</t>
  </si>
  <si>
    <t>Ananya Singh</t>
  </si>
  <si>
    <t>Git, JavaScript, Power BI, Excel, HTML/CSS</t>
  </si>
  <si>
    <t>STU0072</t>
  </si>
  <si>
    <t>Vikas Mishra</t>
  </si>
  <si>
    <t>SQL, Java, Excel, React, Python</t>
  </si>
  <si>
    <t>STU0073</t>
  </si>
  <si>
    <t>Ananya Sharma</t>
  </si>
  <si>
    <t>Power BI, Python</t>
  </si>
  <si>
    <t>STU0074</t>
  </si>
  <si>
    <t>Pooja Pillai</t>
  </si>
  <si>
    <t>Excel, Python, JavaScript, Power BI</t>
  </si>
  <si>
    <t>Tech Mahindra</t>
  </si>
  <si>
    <t>STU0075</t>
  </si>
  <si>
    <t>Nisha Naik</t>
  </si>
  <si>
    <t>React, Excel, Data Analysis, Java</t>
  </si>
  <si>
    <t>STU0076</t>
  </si>
  <si>
    <t>JavaScript, Data Analysis, Power BI, Java</t>
  </si>
  <si>
    <t>STU0077</t>
  </si>
  <si>
    <t>Pranav Gowda</t>
  </si>
  <si>
    <t>SQL, HTML/CSS, JavaScript, Python, Data Analysis</t>
  </si>
  <si>
    <t>STU0078</t>
  </si>
  <si>
    <t>Tanvi Bhat</t>
  </si>
  <si>
    <t>Data Analysis, Excel, HTML/CSS</t>
  </si>
  <si>
    <t>STU0079</t>
  </si>
  <si>
    <t>Java, SQL, HTML/CSS, JavaScript, Power BI</t>
  </si>
  <si>
    <t>STU0080</t>
  </si>
  <si>
    <t>Suraj Sharma</t>
  </si>
  <si>
    <t>HTML/CSS, Git, Excel, SQL</t>
  </si>
  <si>
    <t>STU0081</t>
  </si>
  <si>
    <t>Akash Joshi</t>
  </si>
  <si>
    <t>HTML/CSS, SQL, Excel, Data Analysis</t>
  </si>
  <si>
    <t>STU0082</t>
  </si>
  <si>
    <t>Nisha Verma</t>
  </si>
  <si>
    <t>HTML/CSS, JavaScript</t>
  </si>
  <si>
    <t>STU0083</t>
  </si>
  <si>
    <t>Arjun Desai</t>
  </si>
  <si>
    <t>Python, Power BI, Data Analysis</t>
  </si>
  <si>
    <t>STU0084</t>
  </si>
  <si>
    <t>Riya Desai</t>
  </si>
  <si>
    <t>STU0085</t>
  </si>
  <si>
    <t>HTML/CSS, SQL, JavaScript, React, Excel</t>
  </si>
  <si>
    <t>STU0086</t>
  </si>
  <si>
    <t>Arjun Reddy</t>
  </si>
  <si>
    <t>HTML/CSS, Git, Python</t>
  </si>
  <si>
    <t>STU0087</t>
  </si>
  <si>
    <t>Riya Patil</t>
  </si>
  <si>
    <t>HTML/CSS, Python, React, Excel</t>
  </si>
  <si>
    <t>STU0088</t>
  </si>
  <si>
    <t>Neha Patil</t>
  </si>
  <si>
    <t>STU0089</t>
  </si>
  <si>
    <t>Akash Verma</t>
  </si>
  <si>
    <t>STU0090</t>
  </si>
  <si>
    <t>Rohan Patil</t>
  </si>
  <si>
    <t>HTML/CSS, Git, Power BI</t>
  </si>
  <si>
    <t>STU0091</t>
  </si>
  <si>
    <t>Manoj Shetty</t>
  </si>
  <si>
    <t>HTML/CSS, SQL, Python</t>
  </si>
  <si>
    <t>STU0092</t>
  </si>
  <si>
    <t>Karan Gowda</t>
  </si>
  <si>
    <t>JavaScript, Data Analysis</t>
  </si>
  <si>
    <t>Wipro</t>
  </si>
  <si>
    <t>STU0093</t>
  </si>
  <si>
    <t>Tanvi Jain</t>
  </si>
  <si>
    <t>HTML/CSS, Python</t>
  </si>
  <si>
    <t>STU0094</t>
  </si>
  <si>
    <t>Neha Nair</t>
  </si>
  <si>
    <t>Git, Power BI, React, SQL, Data Analysis</t>
  </si>
  <si>
    <t>STU0095</t>
  </si>
  <si>
    <t>Rahul Rao</t>
  </si>
  <si>
    <t>Java, Python, Power BI</t>
  </si>
  <si>
    <t>STU0096</t>
  </si>
  <si>
    <t>Divya Desai</t>
  </si>
  <si>
    <t>SQL, Java, React, Python, Excel</t>
  </si>
  <si>
    <t>STU0097</t>
  </si>
  <si>
    <t>Tanvi Gowda</t>
  </si>
  <si>
    <t>Python, Git, Excel, Data Analysis</t>
  </si>
  <si>
    <t>STU0098</t>
  </si>
  <si>
    <t>SQL, Power BI, Java, Python, Excel</t>
  </si>
  <si>
    <t>STU0099</t>
  </si>
  <si>
    <t>Shreya Reddy</t>
  </si>
  <si>
    <t>Power BI, JavaScript, Excel</t>
  </si>
  <si>
    <t>STU0100</t>
  </si>
  <si>
    <t>Aarav Singh</t>
  </si>
  <si>
    <t>JavaScript, React</t>
  </si>
  <si>
    <t>STU0101</t>
  </si>
  <si>
    <t>Nikhil Gowda</t>
  </si>
  <si>
    <t>Python, Excel, HTML/CSS, Power BI</t>
  </si>
  <si>
    <t>STU0102</t>
  </si>
  <si>
    <t>Java, Excel</t>
  </si>
  <si>
    <t>STU0103</t>
  </si>
  <si>
    <t>Suraj Naik</t>
  </si>
  <si>
    <t>HTML/CSS, Power BI</t>
  </si>
  <si>
    <t>STU0104</t>
  </si>
  <si>
    <t>Ishita Kumar</t>
  </si>
  <si>
    <t>SQL, JavaScript, Git, Java</t>
  </si>
  <si>
    <t>STU0105</t>
  </si>
  <si>
    <t>Rohan Bhat</t>
  </si>
  <si>
    <t>React, HTML/CSS, Git</t>
  </si>
  <si>
    <t>STU0106</t>
  </si>
  <si>
    <t>Kavya Desai</t>
  </si>
  <si>
    <t>Excel, Python, React</t>
  </si>
  <si>
    <t>STU0107</t>
  </si>
  <si>
    <t>Harsh Gupta</t>
  </si>
  <si>
    <t>Git, Python</t>
  </si>
  <si>
    <t>STU0108</t>
  </si>
  <si>
    <t>Deepak Rao</t>
  </si>
  <si>
    <t>Power BI, React, Java, Git</t>
  </si>
  <si>
    <t>STU0109</t>
  </si>
  <si>
    <t>Sanjay Kulkarni</t>
  </si>
  <si>
    <t>HTML/CSS, SQL, Power BI, Python</t>
  </si>
  <si>
    <t>STU0110</t>
  </si>
  <si>
    <t>Arjun Jain</t>
  </si>
  <si>
    <t>HTML/CSS, Data Analysis</t>
  </si>
  <si>
    <t>STU0111</t>
  </si>
  <si>
    <t>Kavya Shetty</t>
  </si>
  <si>
    <t>Git, SQL, Python, React, HTML/CSS</t>
  </si>
  <si>
    <t>STU0112</t>
  </si>
  <si>
    <t>Pooja Hegde</t>
  </si>
  <si>
    <t>Power BI, Python, Data Analysis</t>
  </si>
  <si>
    <t>STU0113</t>
  </si>
  <si>
    <t>Shreya Jain</t>
  </si>
  <si>
    <t>Data Analysis, Python</t>
  </si>
  <si>
    <t>STU0114</t>
  </si>
  <si>
    <t>Nisha Gupta</t>
  </si>
  <si>
    <t>Java, JavaScript, Excel, Git</t>
  </si>
  <si>
    <t>STU0115</t>
  </si>
  <si>
    <t>Java, HTML/CSS, Python, React, Data Analysis</t>
  </si>
  <si>
    <t>STU0116</t>
  </si>
  <si>
    <t>Divya Kulkarni</t>
  </si>
  <si>
    <t>Excel, Power BI</t>
  </si>
  <si>
    <t>STU0117</t>
  </si>
  <si>
    <t>Riya Singh</t>
  </si>
  <si>
    <t>React, Excel, SQL, Java</t>
  </si>
  <si>
    <t>STU0118</t>
  </si>
  <si>
    <t>Kavya Patil</t>
  </si>
  <si>
    <t>Data Analysis, Excel, SQL, Java</t>
  </si>
  <si>
    <t>STU0119</t>
  </si>
  <si>
    <t>Rahul Singh</t>
  </si>
  <si>
    <t>Data Analysis, Power BI, SQL, React, Excel</t>
  </si>
  <si>
    <t>STU0120</t>
  </si>
  <si>
    <t>Karan Kulkarni</t>
  </si>
  <si>
    <t>React, Data Analysis, Git, SQL</t>
  </si>
  <si>
    <t>STU0121</t>
  </si>
  <si>
    <t>Git, Power BI, React, JavaScript, Excel</t>
  </si>
  <si>
    <t>STU0122</t>
  </si>
  <si>
    <t>Arjun Gupta</t>
  </si>
  <si>
    <t>Excel, React, Python</t>
  </si>
  <si>
    <t>STU0123</t>
  </si>
  <si>
    <t>Suraj Patil</t>
  </si>
  <si>
    <t>JavaScript, Java, Git</t>
  </si>
  <si>
    <t>STU0124</t>
  </si>
  <si>
    <t>Shreya Joshi</t>
  </si>
  <si>
    <t>Python, React, HTML/CSS, Power BI</t>
  </si>
  <si>
    <t>STU0125</t>
  </si>
  <si>
    <t>Harsh Hegde</t>
  </si>
  <si>
    <t>Power BI, Java, React, Python</t>
  </si>
  <si>
    <t>STU0126</t>
  </si>
  <si>
    <t>Harsh Gowda</t>
  </si>
  <si>
    <t>Power BI, Excel, Git</t>
  </si>
  <si>
    <t>STU0127</t>
  </si>
  <si>
    <t>Divya Gupta</t>
  </si>
  <si>
    <t>Git, Java</t>
  </si>
  <si>
    <t>STU0128</t>
  </si>
  <si>
    <t>Nisha Nair</t>
  </si>
  <si>
    <t>STU0129</t>
  </si>
  <si>
    <t>Vikas Desai</t>
  </si>
  <si>
    <t>Data Analysis, Excel, Python</t>
  </si>
  <si>
    <t>STU0130</t>
  </si>
  <si>
    <t>Rahul Verma</t>
  </si>
  <si>
    <t>Power BI, SQL</t>
  </si>
  <si>
    <t>STU0131</t>
  </si>
  <si>
    <t>Tanvi Nair</t>
  </si>
  <si>
    <t>React, Power BI, Python</t>
  </si>
  <si>
    <t>STU0132</t>
  </si>
  <si>
    <t>Aarav Joshi</t>
  </si>
  <si>
    <t>STU0133</t>
  </si>
  <si>
    <t>Bhavana Desai</t>
  </si>
  <si>
    <t>STU0134</t>
  </si>
  <si>
    <t>React, Python, Git</t>
  </si>
  <si>
    <t>STU0135</t>
  </si>
  <si>
    <t>Aditi Mishra</t>
  </si>
  <si>
    <t>Data Analysis, React</t>
  </si>
  <si>
    <t>STU0136</t>
  </si>
  <si>
    <t>Pooja Bhat</t>
  </si>
  <si>
    <t>Git, React, SQL</t>
  </si>
  <si>
    <t>STU0137</t>
  </si>
  <si>
    <t>Rahul Patil</t>
  </si>
  <si>
    <t>Power BI, Excel, Java, Git, Data Analysis</t>
  </si>
  <si>
    <t>STU0138</t>
  </si>
  <si>
    <t>Yash Mishra</t>
  </si>
  <si>
    <t>HTML/CSS, JavaScript, React, Data Analysis, Java</t>
  </si>
  <si>
    <t>STU0139</t>
  </si>
  <si>
    <t>Rahul Desai</t>
  </si>
  <si>
    <t>Java, Excel, Data Analysis</t>
  </si>
  <si>
    <t>STU0140</t>
  </si>
  <si>
    <t>STU0141</t>
  </si>
  <si>
    <t>Arjun Verma</t>
  </si>
  <si>
    <t>Excel, JavaScript, React</t>
  </si>
  <si>
    <t>STU0142</t>
  </si>
  <si>
    <t>Riya Kulkarni</t>
  </si>
  <si>
    <t>Java, Power BI, Python, HTML/CSS</t>
  </si>
  <si>
    <t>STU0143</t>
  </si>
  <si>
    <t>JavaScript, Git, Python, React</t>
  </si>
  <si>
    <t>STU0144</t>
  </si>
  <si>
    <t>Yash Singh</t>
  </si>
  <si>
    <t>JavaScript, Java, Power BI</t>
  </si>
  <si>
    <t>STU0145</t>
  </si>
  <si>
    <t>Rahul Nair</t>
  </si>
  <si>
    <t>SQL, Java</t>
  </si>
  <si>
    <t>STU0146</t>
  </si>
  <si>
    <t>Pranav Gupta</t>
  </si>
  <si>
    <t>SQL, React, Java</t>
  </si>
  <si>
    <t>STU0147</t>
  </si>
  <si>
    <t>Yash Gupta</t>
  </si>
  <si>
    <t>React, SQL, Git, JavaScript, Python</t>
  </si>
  <si>
    <t>STU0148</t>
  </si>
  <si>
    <t>Rahul Kumar</t>
  </si>
  <si>
    <t>Java, HTML/CSS, Git</t>
  </si>
  <si>
    <t>STU0149</t>
  </si>
  <si>
    <t>Pooja Patil</t>
  </si>
  <si>
    <t>Python, Git, React, SQL</t>
  </si>
  <si>
    <t>STU0150</t>
  </si>
  <si>
    <t>Python, Excel</t>
  </si>
  <si>
    <t>STU0151</t>
  </si>
  <si>
    <t>Data Analysis, Power BI, Excel, Git</t>
  </si>
  <si>
    <t>STU0152</t>
  </si>
  <si>
    <t>COMPUTER APPLICATIONS</t>
  </si>
  <si>
    <t>SQL, HTML/CSS, JavaScript, Java, Power BI</t>
  </si>
  <si>
    <t>STU0153</t>
  </si>
  <si>
    <t>Neha Verma</t>
  </si>
  <si>
    <t>SQL, React, JavaScript</t>
  </si>
  <si>
    <t>STU0154</t>
  </si>
  <si>
    <t>Bhavana Kumar</t>
  </si>
  <si>
    <t>STU0155</t>
  </si>
  <si>
    <t>Shreya Mishra</t>
  </si>
  <si>
    <t>STU0156</t>
  </si>
  <si>
    <t>Rohan Desai</t>
  </si>
  <si>
    <t>Excel, SQL, JavaScript, Data Analysis</t>
  </si>
  <si>
    <t>STU0157</t>
  </si>
  <si>
    <t>JavaScript, Python, Git, Excel, Power BI</t>
  </si>
  <si>
    <t>STU0158</t>
  </si>
  <si>
    <t>HTML/CSS, Power BI, SQL, React, Excel</t>
  </si>
  <si>
    <t>STU0159</t>
  </si>
  <si>
    <t>Riya Verma</t>
  </si>
  <si>
    <t>Excel, Power BI, JavaScript, Java, Git</t>
  </si>
  <si>
    <t>STU0160</t>
  </si>
  <si>
    <t>STU0161</t>
  </si>
  <si>
    <t>Rohan Shetty</t>
  </si>
  <si>
    <t>HTML/CSS, JavaScript, Git, Java, Python</t>
  </si>
  <si>
    <t>STU0162</t>
  </si>
  <si>
    <t>Ananya Pillai</t>
  </si>
  <si>
    <t>HTML/CSS, Power BI, React, Data Analysis, SQL</t>
  </si>
  <si>
    <t>STU0163</t>
  </si>
  <si>
    <t>Shreya Gowda</t>
  </si>
  <si>
    <t>Java, React, Power BI, JavaScript, HTML/CSS</t>
  </si>
  <si>
    <t>STU0164</t>
  </si>
  <si>
    <t>Meera Mishra</t>
  </si>
  <si>
    <t>SQL, React, Data Analysis, Power BI, Java</t>
  </si>
  <si>
    <t>STU0165</t>
  </si>
  <si>
    <t>Sanjay Desai</t>
  </si>
  <si>
    <t>Java, HTML/CSS</t>
  </si>
  <si>
    <t>STU0166</t>
  </si>
  <si>
    <t>Pooja Shetty</t>
  </si>
  <si>
    <t>React, HTML/CSS, JavaScript</t>
  </si>
  <si>
    <t>STU0167</t>
  </si>
  <si>
    <t>Ananya Naik</t>
  </si>
  <si>
    <t>HTML/CSS, Power BI, Git</t>
  </si>
  <si>
    <t>STU0168</t>
  </si>
  <si>
    <t>Nikhil Gupta</t>
  </si>
  <si>
    <t>SQL, Python, Java, Power BI</t>
  </si>
  <si>
    <t>LTIMindtree</t>
  </si>
  <si>
    <t>STU0169</t>
  </si>
  <si>
    <t>Varun Reddy</t>
  </si>
  <si>
    <t>React, JavaScript, Data Analysis</t>
  </si>
  <si>
    <t>STU0170</t>
  </si>
  <si>
    <t>Bhavana Hegde</t>
  </si>
  <si>
    <t>Data Analysis, HTML/CSS, JavaScript, Power BI, Java</t>
  </si>
  <si>
    <t>STU0171</t>
  </si>
  <si>
    <t>Bhavana Gowda</t>
  </si>
  <si>
    <t>Data Analysis, JavaScript, Git</t>
  </si>
  <si>
    <t>STU0172</t>
  </si>
  <si>
    <t>STU0173</t>
  </si>
  <si>
    <t>Rahul Hegde</t>
  </si>
  <si>
    <t>Git, Excel</t>
  </si>
  <si>
    <t>STU0174</t>
  </si>
  <si>
    <t>STU0175</t>
  </si>
  <si>
    <t>Yash Rao</t>
  </si>
  <si>
    <t>React, Power BI</t>
  </si>
  <si>
    <t>STU0176</t>
  </si>
  <si>
    <t>Rahul Kulkarni</t>
  </si>
  <si>
    <t>Python, Git, Java, JavaScript, SQL</t>
  </si>
  <si>
    <t>STU0177</t>
  </si>
  <si>
    <t>Arjun Shetty</t>
  </si>
  <si>
    <t>STU0178</t>
  </si>
  <si>
    <t>Manoj Verma</t>
  </si>
  <si>
    <t>Python, Power BI, JavaScript, Java, React</t>
  </si>
  <si>
    <t>STU0179</t>
  </si>
  <si>
    <t>Deepak Bhat</t>
  </si>
  <si>
    <t>React, HTML/CSS</t>
  </si>
  <si>
    <t>STU0180</t>
  </si>
  <si>
    <t>Pranav Kulkarni</t>
  </si>
  <si>
    <t>HTML/CSS, Excel, Data Analysis, React, Git</t>
  </si>
  <si>
    <t>STU0181</t>
  </si>
  <si>
    <t>Kavya Kulkarni</t>
  </si>
  <si>
    <t>Power BI, Python, Git</t>
  </si>
  <si>
    <t>STU0182</t>
  </si>
  <si>
    <t>Shreya Naik</t>
  </si>
  <si>
    <t>SQL, Excel</t>
  </si>
  <si>
    <t>STU0183</t>
  </si>
  <si>
    <t>Ananya Kumar</t>
  </si>
  <si>
    <t>STU0184</t>
  </si>
  <si>
    <t>Sanjay Shetty</t>
  </si>
  <si>
    <t>SQL, Data Analysis, Excel</t>
  </si>
  <si>
    <t>STU0185</t>
  </si>
  <si>
    <t>Harsh Reddy</t>
  </si>
  <si>
    <t>STU0186</t>
  </si>
  <si>
    <t>Manoj Hegde</t>
  </si>
  <si>
    <t>Power BI, Java</t>
  </si>
  <si>
    <t>STU0187</t>
  </si>
  <si>
    <t>Meera Singh</t>
  </si>
  <si>
    <t>HTML/CSS, Git</t>
  </si>
  <si>
    <t>STU0188</t>
  </si>
  <si>
    <t>Meera Bhat</t>
  </si>
  <si>
    <t>Java, Excel, Data Analysis, JavaScript</t>
  </si>
  <si>
    <t>STU0189</t>
  </si>
  <si>
    <t>Sanjay Reddy</t>
  </si>
  <si>
    <t>Data Analysis, Java</t>
  </si>
  <si>
    <t>STU0190</t>
  </si>
  <si>
    <t>Aarav Shetty</t>
  </si>
  <si>
    <t>SQL, React, Excel, Python, HTML/CSS</t>
  </si>
  <si>
    <t>STU0191</t>
  </si>
  <si>
    <t>Neha Sharma</t>
  </si>
  <si>
    <t>Python, HTML/CSS, Git, Data Analysis</t>
  </si>
  <si>
    <t>STU0192</t>
  </si>
  <si>
    <t>React, Git</t>
  </si>
  <si>
    <t>STU0193</t>
  </si>
  <si>
    <t>Excel, Git</t>
  </si>
  <si>
    <t>STU0194</t>
  </si>
  <si>
    <t>Bhavana Gupta</t>
  </si>
  <si>
    <t>Git, HTML/CSS</t>
  </si>
  <si>
    <t>STU0195</t>
  </si>
  <si>
    <t>Suraj Jain</t>
  </si>
  <si>
    <t>SQL, Data Analysis, React, Excel</t>
  </si>
  <si>
    <t>STU0196</t>
  </si>
  <si>
    <t>Python, Excel, JavaScript</t>
  </si>
  <si>
    <t>STU0197</t>
  </si>
  <si>
    <t>Akash Patil</t>
  </si>
  <si>
    <t>Data Analysis, Java, JavaScript</t>
  </si>
  <si>
    <t>STU0198</t>
  </si>
  <si>
    <t>Meera Shetty</t>
  </si>
  <si>
    <t>STU0199</t>
  </si>
  <si>
    <t>Ananya Shetty</t>
  </si>
  <si>
    <t>HTML/CSS, React, Power BI, SQL</t>
  </si>
  <si>
    <t>STU0200</t>
  </si>
  <si>
    <t>Ishita Jain</t>
  </si>
  <si>
    <t>React, Power BI, Git</t>
  </si>
  <si>
    <t>STU0201</t>
  </si>
  <si>
    <t>Aarav Desai</t>
  </si>
  <si>
    <t>JavaScript, Data Analysis, Excel, HTML/CSS</t>
  </si>
  <si>
    <t>STU0202</t>
  </si>
  <si>
    <t>Deepak Desai</t>
  </si>
  <si>
    <t>SQL, Excel, Data Analysis</t>
  </si>
  <si>
    <t>STU0203</t>
  </si>
  <si>
    <t>Karan Rao</t>
  </si>
  <si>
    <t>Java, React</t>
  </si>
  <si>
    <t>STU0204</t>
  </si>
  <si>
    <t>Arjun Patil</t>
  </si>
  <si>
    <t>Excel, JavaScript, Data Analysis, SQL, Python</t>
  </si>
  <si>
    <t>STU0205</t>
  </si>
  <si>
    <t>Sanjay Mishra</t>
  </si>
  <si>
    <t>JavaScript, Python, Git, SQL</t>
  </si>
  <si>
    <t>STU0206</t>
  </si>
  <si>
    <t>Harsh Patil</t>
  </si>
  <si>
    <t>JavaScript, Power BI, Python, Excel</t>
  </si>
  <si>
    <t>STU0207</t>
  </si>
  <si>
    <t>Yash Desai</t>
  </si>
  <si>
    <t>Java, Power BI, Excel</t>
  </si>
  <si>
    <t>STU0208</t>
  </si>
  <si>
    <t>Nisha Mishra</t>
  </si>
  <si>
    <t>STU0209</t>
  </si>
  <si>
    <t>Karan Patil</t>
  </si>
  <si>
    <t>Excel, HTML/CSS, Java, JavaScript, SQL</t>
  </si>
  <si>
    <t>STU0210</t>
  </si>
  <si>
    <t>Suraj Bhat</t>
  </si>
  <si>
    <t>SQL, HTML/CSS, JavaScript, Power BI</t>
  </si>
  <si>
    <t>STU0211</t>
  </si>
  <si>
    <t>Java, Python, JavaScript, Data Analysis</t>
  </si>
  <si>
    <t>STU0212</t>
  </si>
  <si>
    <t>Kavya Kumar</t>
  </si>
  <si>
    <t>Git, SQL, React</t>
  </si>
  <si>
    <t>STU0213</t>
  </si>
  <si>
    <t>React, Excel, Power BI, SQL</t>
  </si>
  <si>
    <t>STU0214</t>
  </si>
  <si>
    <t>HTML/CSS, Data Analysis, JavaScript, Excel, Java</t>
  </si>
  <si>
    <t>STU0215</t>
  </si>
  <si>
    <t>Neha Reddy</t>
  </si>
  <si>
    <t>SQL, HTML/CSS</t>
  </si>
  <si>
    <t>STU0216</t>
  </si>
  <si>
    <t>Suraj Mishra</t>
  </si>
  <si>
    <t>Python, Excel, SQL, Git, React</t>
  </si>
  <si>
    <t>STU0217</t>
  </si>
  <si>
    <t>Rohan Gowda</t>
  </si>
  <si>
    <t>Python, Excel, HTML/CSS, Data Analysis, Java</t>
  </si>
  <si>
    <t>STU0218</t>
  </si>
  <si>
    <t>Power BI, JavaScript</t>
  </si>
  <si>
    <t>STU0219</t>
  </si>
  <si>
    <t>Akash Singh</t>
  </si>
  <si>
    <t>COMPUTER SCIENCE</t>
  </si>
  <si>
    <t>React, Power BI, Java, JavaScript, Python</t>
  </si>
  <si>
    <t>STU0220</t>
  </si>
  <si>
    <t>Git, Java, React, Python, Excel</t>
  </si>
  <si>
    <t>STU0221</t>
  </si>
  <si>
    <t>Deepak Shetty</t>
  </si>
  <si>
    <t>Java, Python, Excel</t>
  </si>
  <si>
    <t>STU0222</t>
  </si>
  <si>
    <t>Data Analysis, HTML/CSS, Power BI, React, Java</t>
  </si>
  <si>
    <t>STU0223</t>
  </si>
  <si>
    <t>Neha Bhat</t>
  </si>
  <si>
    <t>SQL, Git</t>
  </si>
  <si>
    <t>STU0224</t>
  </si>
  <si>
    <t>Python, JavaScript, Excel, Java, Git</t>
  </si>
  <si>
    <t>STU0225</t>
  </si>
  <si>
    <t>Harsh Bhat</t>
  </si>
  <si>
    <t>Java, Python</t>
  </si>
  <si>
    <t>STU0226</t>
  </si>
  <si>
    <t>Tanvi Verma</t>
  </si>
  <si>
    <t>Excel, Data Analysis, Python, Git</t>
  </si>
  <si>
    <t>STU0227</t>
  </si>
  <si>
    <t>Pranav Rao</t>
  </si>
  <si>
    <t>Excel, HTML/CSS, Java, Python, JavaScript</t>
  </si>
  <si>
    <t>STU0228</t>
  </si>
  <si>
    <t>Bhavana Pillai</t>
  </si>
  <si>
    <t>HTML/CSS, Python, Power BI, Git</t>
  </si>
  <si>
    <t>STU0229</t>
  </si>
  <si>
    <t>Varun Sharma</t>
  </si>
  <si>
    <t>Excel, React</t>
  </si>
  <si>
    <t>STU0230</t>
  </si>
  <si>
    <t>JavaScript, Git, HTML/CSS, Java</t>
  </si>
  <si>
    <t>STU0231</t>
  </si>
  <si>
    <t>Power BI, SQL, React, Excel</t>
  </si>
  <si>
    <t>STU0232</t>
  </si>
  <si>
    <t>HTML/CSS, Python, Excel, Git, Java</t>
  </si>
  <si>
    <t>STU0233</t>
  </si>
  <si>
    <t>Ananya Gowda</t>
  </si>
  <si>
    <t>Data Analysis, Power BI, Python, JavaScript</t>
  </si>
  <si>
    <t>STU0234</t>
  </si>
  <si>
    <t>Kavya Joshi</t>
  </si>
  <si>
    <t>SQL, Java, HTML/CSS, Git</t>
  </si>
  <si>
    <t>STU0235</t>
  </si>
  <si>
    <t>React, Java</t>
  </si>
  <si>
    <t>STU0236</t>
  </si>
  <si>
    <t>Python, HTML/CSS, Git, JavaScript, Excel</t>
  </si>
  <si>
    <t>STU0237</t>
  </si>
  <si>
    <t>Aarav Patil</t>
  </si>
  <si>
    <t>SQL, Python, JavaScript, HTML/CSS, Java</t>
  </si>
  <si>
    <t>STU0238</t>
  </si>
  <si>
    <t>Arjun Rao</t>
  </si>
  <si>
    <t>Excel, Git, Java</t>
  </si>
  <si>
    <t>STU0239</t>
  </si>
  <si>
    <t>Neha Gowda</t>
  </si>
  <si>
    <t>React, Data Analysis, HTML/CSS, Java</t>
  </si>
  <si>
    <t>STU0240</t>
  </si>
  <si>
    <t>Varun Patil</t>
  </si>
  <si>
    <t>Python, Java, Excel</t>
  </si>
  <si>
    <t>STU0241</t>
  </si>
  <si>
    <t>STU0242</t>
  </si>
  <si>
    <t>SQL, Data Analysis, Power BI, React, JavaScript</t>
  </si>
  <si>
    <t>STU0243</t>
  </si>
  <si>
    <t>Deepak Gowda</t>
  </si>
  <si>
    <t>Data Analysis, Java, HTML/CSS, React</t>
  </si>
  <si>
    <t>STU0244</t>
  </si>
  <si>
    <t>Nikhil Hegde</t>
  </si>
  <si>
    <t>Python, SQL, Data Analysis, HTML/CSS, JavaScript</t>
  </si>
  <si>
    <t>STU0245</t>
  </si>
  <si>
    <t>Yash Shetty</t>
  </si>
  <si>
    <t>HTML/CSS, JavaScript, SQL, Excel</t>
  </si>
  <si>
    <t>STU0246</t>
  </si>
  <si>
    <t>STU0247</t>
  </si>
  <si>
    <t>Python, SQL</t>
  </si>
  <si>
    <t>STU0248</t>
  </si>
  <si>
    <t>Harsh Kumar</t>
  </si>
  <si>
    <t>React, Git, SQL</t>
  </si>
  <si>
    <t>STU0249</t>
  </si>
  <si>
    <t>HTML/CSS, Data Analysis, SQL</t>
  </si>
  <si>
    <t>STU0250</t>
  </si>
  <si>
    <t>Divya Mishra</t>
  </si>
  <si>
    <t>React, Python, SQL, JavaScript, Java</t>
  </si>
  <si>
    <t>STU0251</t>
  </si>
  <si>
    <t>Sanjay Sharma</t>
  </si>
  <si>
    <t>STU0252</t>
  </si>
  <si>
    <t>Vikas Patil</t>
  </si>
  <si>
    <t>Data Analysis, Git, Java, HTML/CSS</t>
  </si>
  <si>
    <t>STU0253</t>
  </si>
  <si>
    <t>Varun Hegde</t>
  </si>
  <si>
    <t>React, SQL, Data Analysis, JavaScript</t>
  </si>
  <si>
    <t>STU0254</t>
  </si>
  <si>
    <t>Vikas Nair</t>
  </si>
  <si>
    <t>SQL, Power BI, Java, Git, Excel</t>
  </si>
  <si>
    <t>STU0255</t>
  </si>
  <si>
    <t>Nisha Sharma</t>
  </si>
  <si>
    <t>STU0256</t>
  </si>
  <si>
    <t>Neha Kumar</t>
  </si>
  <si>
    <t>Git, Python, Data Analysis</t>
  </si>
  <si>
    <t>STU0257</t>
  </si>
  <si>
    <t>Power BI, React, Python, SQL</t>
  </si>
  <si>
    <t>STU0258</t>
  </si>
  <si>
    <t>Nisha Pillai</t>
  </si>
  <si>
    <t>Python, Data Analysis, HTML/CSS</t>
  </si>
  <si>
    <t>STU0259</t>
  </si>
  <si>
    <t>Harsh Kulkarni</t>
  </si>
  <si>
    <t>Data Analysis, SQL</t>
  </si>
  <si>
    <t>STU0260</t>
  </si>
  <si>
    <t>HTML/CSS, React</t>
  </si>
  <si>
    <t>STU0261</t>
  </si>
  <si>
    <t>Karan Mishra</t>
  </si>
  <si>
    <t>JavaScript, Git</t>
  </si>
  <si>
    <t>STU0262</t>
  </si>
  <si>
    <t>Akash Kulkarni</t>
  </si>
  <si>
    <t>Java; HTML/CSS; Git; JavaScript; Data Analysis</t>
  </si>
  <si>
    <t>STU0263</t>
  </si>
  <si>
    <t>Aditi Shetty</t>
  </si>
  <si>
    <t>Python; Power BI; Excel</t>
  </si>
  <si>
    <t>STU0264</t>
  </si>
  <si>
    <t>SQL, HTML/CSS, Java, Git</t>
  </si>
  <si>
    <t>STU0265</t>
  </si>
  <si>
    <t>Java, Data Analysis, React, Power BI</t>
  </si>
  <si>
    <t>STU0266</t>
  </si>
  <si>
    <t>Tanvi Singh</t>
  </si>
  <si>
    <t>JavaScript, SQL, Git, Python</t>
  </si>
  <si>
    <t>STU0267</t>
  </si>
  <si>
    <t>Shreya Nair</t>
  </si>
  <si>
    <t>Python, Data Analysis</t>
  </si>
  <si>
    <t>STU0268</t>
  </si>
  <si>
    <t>Harsh Mishra</t>
  </si>
  <si>
    <t>SQL, Python, Excel, Java, HTML/CSS</t>
  </si>
  <si>
    <t>STU0269</t>
  </si>
  <si>
    <t>Tanvi Pillai</t>
  </si>
  <si>
    <t>JavaScript, HTML/CSS, Excel, Java, Data Analysis</t>
  </si>
  <si>
    <t>STU0270</t>
  </si>
  <si>
    <t>Nisha Kulkarni</t>
  </si>
  <si>
    <t>Git, SQL, Power BI, JavaScript</t>
  </si>
  <si>
    <t>STU0271</t>
  </si>
  <si>
    <t>Riya Jain</t>
  </si>
  <si>
    <t>Power BI, HTML/CSS, Excel</t>
  </si>
  <si>
    <t>STU0272</t>
  </si>
  <si>
    <t>Java, JavaScript, Python, SQL</t>
  </si>
  <si>
    <t>STU0273</t>
  </si>
  <si>
    <t>Karan Singh</t>
  </si>
  <si>
    <t>Data Analysis, SQL, Power BI, HTML/CSS, Excel</t>
  </si>
  <si>
    <t>STU0274</t>
  </si>
  <si>
    <t>Riya Pillai</t>
  </si>
  <si>
    <t>React, Git, HTML/CSS, Power BI</t>
  </si>
  <si>
    <t>STU0275</t>
  </si>
  <si>
    <t>Power BI, HTML/CSS, Python, Data Analysis, JavaScript</t>
  </si>
  <si>
    <t>STU0276</t>
  </si>
  <si>
    <t>Akash Sharma</t>
  </si>
  <si>
    <t>Data Analysis, Java, Power BI</t>
  </si>
  <si>
    <t>STU0277</t>
  </si>
  <si>
    <t>Data Analysis, Git, React, HTML/CSS</t>
  </si>
  <si>
    <t>STU0278</t>
  </si>
  <si>
    <t>Arjun Gowda</t>
  </si>
  <si>
    <t>STU0279</t>
  </si>
  <si>
    <t>Java, Data Analysis</t>
  </si>
  <si>
    <t>STU0280</t>
  </si>
  <si>
    <t>Git, Data Analysis, Python, Java</t>
  </si>
  <si>
    <t>STU0281</t>
  </si>
  <si>
    <t>Sanjay Joshi</t>
  </si>
  <si>
    <t>React, Git, Excel, Power BI</t>
  </si>
  <si>
    <t>STU0282</t>
  </si>
  <si>
    <t>JavaScript, HTML/CSS, SQL</t>
  </si>
  <si>
    <t>STU0283</t>
  </si>
  <si>
    <t>Manoj Jain</t>
  </si>
  <si>
    <t>Git; Python</t>
  </si>
  <si>
    <t>STU0284</t>
  </si>
  <si>
    <t>Rohan Verma</t>
  </si>
  <si>
    <t>React, Python, Java, JavaScript, Git</t>
  </si>
  <si>
    <t>STU0285</t>
  </si>
  <si>
    <t>Shreya Bhat</t>
  </si>
  <si>
    <t>JavaScript, Git, Python</t>
  </si>
  <si>
    <t>STU0286</t>
  </si>
  <si>
    <t>SQL, React</t>
  </si>
  <si>
    <t>STU0287</t>
  </si>
  <si>
    <t>JavaScript, HTML/CSS, SQL, Java, React</t>
  </si>
  <si>
    <t>STU0288</t>
  </si>
  <si>
    <t>Kavya Rao</t>
  </si>
  <si>
    <t>Data Analysis, Excel</t>
  </si>
  <si>
    <t>STU0289</t>
  </si>
  <si>
    <t>Git, Power BI, JavaScript, React</t>
  </si>
  <si>
    <t>STU0290</t>
  </si>
  <si>
    <t>Deepak Verma</t>
  </si>
  <si>
    <t>SQL, Java, React</t>
  </si>
  <si>
    <t>STU0291</t>
  </si>
  <si>
    <t>Excel, SQL, Python, Java, Power BI</t>
  </si>
  <si>
    <t>STU0292</t>
  </si>
  <si>
    <t>Ishita Nair</t>
  </si>
  <si>
    <t>INFORMATION SCIENCE</t>
  </si>
  <si>
    <t>React, Git, Excel</t>
  </si>
  <si>
    <t>STU0293</t>
  </si>
  <si>
    <t>Shreya Desai</t>
  </si>
  <si>
    <t>Java, Excel, Python, Data Analysis</t>
  </si>
  <si>
    <t>STU0294</t>
  </si>
  <si>
    <t>Nikhil Desai</t>
  </si>
  <si>
    <t>Data Analysis, HTML/CSS, Git, JavaScript</t>
  </si>
  <si>
    <t>STU0295</t>
  </si>
  <si>
    <t>SQL, Data Analysis, Power BI, React</t>
  </si>
  <si>
    <t>STU0296</t>
  </si>
  <si>
    <t>Shreya Gupta</t>
  </si>
  <si>
    <t>STU0297</t>
  </si>
  <si>
    <t>Power BI, SQL, JavaScript</t>
  </si>
  <si>
    <t>STU0298</t>
  </si>
  <si>
    <t>React, Java, Data Analysis</t>
  </si>
  <si>
    <t>STU0299</t>
  </si>
  <si>
    <t>Neha Pillai</t>
  </si>
  <si>
    <t>Git, Excel, Data Analysis, JavaScript, Java</t>
  </si>
  <si>
    <t>STU0300</t>
  </si>
  <si>
    <t>Excel, Data Analysis, JavaScript</t>
  </si>
  <si>
    <t>in process</t>
  </si>
  <si>
    <t>STU0301</t>
  </si>
  <si>
    <t>Java, JavaScript</t>
  </si>
  <si>
    <t>STU0302</t>
  </si>
  <si>
    <t>Java, JavaScript, HTML/CSS, Python, Git</t>
  </si>
  <si>
    <t>STU0303</t>
  </si>
  <si>
    <t>Pooja Mishra</t>
  </si>
  <si>
    <t>Python, React, Excel</t>
  </si>
  <si>
    <t>STU0304</t>
  </si>
  <si>
    <t>Suraj Kumar</t>
  </si>
  <si>
    <t>Excel, Java, Power BI</t>
  </si>
  <si>
    <t>STU0305</t>
  </si>
  <si>
    <t>SQL, HTML/CSS, Java, Power BI, JavaScript</t>
  </si>
  <si>
    <t>STU0306</t>
  </si>
  <si>
    <t>Python, HTML/CSS, JavaScript</t>
  </si>
  <si>
    <t>STU0307</t>
  </si>
  <si>
    <t>Bhavana Sharma</t>
  </si>
  <si>
    <t>Power BI, React, HTML/CSS, Data Analysis, Git</t>
  </si>
  <si>
    <t>STU0308</t>
  </si>
  <si>
    <t>Python, JavaScript, SQL</t>
  </si>
  <si>
    <t>STU0309</t>
  </si>
  <si>
    <t>JavaScript, Power BI</t>
  </si>
  <si>
    <t>STU0310</t>
  </si>
  <si>
    <t>React, Git, Power BI, Data Analysis</t>
  </si>
  <si>
    <t>STU0311</t>
  </si>
  <si>
    <t>Ishita Sharma</t>
  </si>
  <si>
    <t>HTML/CSS, React, Java, JavaScript</t>
  </si>
  <si>
    <t>STU0312</t>
  </si>
  <si>
    <t>Rohan Gupta</t>
  </si>
  <si>
    <t>STU0313</t>
  </si>
  <si>
    <t>Varun Jain</t>
  </si>
  <si>
    <t>JavaScript, Git, Java</t>
  </si>
  <si>
    <t>STU0314</t>
  </si>
  <si>
    <t>Nikhil Joshi</t>
  </si>
  <si>
    <t>Python, Git</t>
  </si>
  <si>
    <t>STU0315</t>
  </si>
  <si>
    <t>Power BI, Git</t>
  </si>
  <si>
    <t>STU0316</t>
  </si>
  <si>
    <t>React, Excel, HTML/CSS, Data Analysis</t>
  </si>
  <si>
    <t>STU0317</t>
  </si>
  <si>
    <t>STU0318</t>
  </si>
  <si>
    <t>STU0319</t>
  </si>
  <si>
    <t>Manoj Gupta</t>
  </si>
  <si>
    <t>STU0320</t>
  </si>
  <si>
    <t>Pranav Patil</t>
  </si>
  <si>
    <t>STU0321</t>
  </si>
  <si>
    <t>Manoj Singh</t>
  </si>
  <si>
    <t>HTML/CSS, Data Analysis, Git</t>
  </si>
  <si>
    <t>STU0322</t>
  </si>
  <si>
    <t>Pranav Mishra</t>
  </si>
  <si>
    <t>Java, Python, HTML/CSS, Data Analysis, React</t>
  </si>
  <si>
    <t>STU0323</t>
  </si>
  <si>
    <t>Excel, Data Analysis, JavaScript, HTML/CSS, SQL</t>
  </si>
  <si>
    <t>STU0324</t>
  </si>
  <si>
    <t>Data Analysis, Python, Power BI, Git, Java</t>
  </si>
  <si>
    <t>STU0325</t>
  </si>
  <si>
    <t>Pranav Nair</t>
  </si>
  <si>
    <t>React, Data Analysis, Power BI, Excel, Python</t>
  </si>
  <si>
    <t>STU0326</t>
  </si>
  <si>
    <t>HTML/CSS, Excel, Power BI, React, Data Analysis</t>
  </si>
  <si>
    <t>STU0327</t>
  </si>
  <si>
    <t>Kavya Naik</t>
  </si>
  <si>
    <t>Git, Python, JavaScript</t>
  </si>
  <si>
    <t>STU0328</t>
  </si>
  <si>
    <t>Data Analysis, React, HTML/CSS</t>
  </si>
  <si>
    <t>STU0329</t>
  </si>
  <si>
    <t>JavaScript, Data Analysis, Power BI</t>
  </si>
  <si>
    <t>STU0330</t>
  </si>
  <si>
    <t>Java, HTML/CSS, Excel</t>
  </si>
  <si>
    <t>STU0331</t>
  </si>
  <si>
    <t>Suraj Reddy</t>
  </si>
  <si>
    <t>Java, Power BI, Data Analysis</t>
  </si>
  <si>
    <t>STU0332</t>
  </si>
  <si>
    <t>Git, Power BI</t>
  </si>
  <si>
    <t>STU0333</t>
  </si>
  <si>
    <t>Arjun Kumar</t>
  </si>
  <si>
    <t>Git, Excel, JavaScript</t>
  </si>
  <si>
    <t>STU0334</t>
  </si>
  <si>
    <t>Karan Reddy</t>
  </si>
  <si>
    <t>STU0335</t>
  </si>
  <si>
    <t>Rahul Jain</t>
  </si>
  <si>
    <t>Python, Git, React, Power BI, SQL</t>
  </si>
  <si>
    <t>STU0336</t>
  </si>
  <si>
    <t>Kavya Jain</t>
  </si>
  <si>
    <t>STU0337</t>
  </si>
  <si>
    <t>Yash Reddy</t>
  </si>
  <si>
    <t>React, Excel, Java</t>
  </si>
  <si>
    <t>STU0338</t>
  </si>
  <si>
    <t>Deepak Nair</t>
  </si>
  <si>
    <t>Excel, HTML/CSS, SQL, Python</t>
  </si>
  <si>
    <t>STU0339</t>
  </si>
  <si>
    <t>Aditi Naik</t>
  </si>
  <si>
    <t>Git, Data Analysis, Excel, Python, SQL</t>
  </si>
  <si>
    <t>STU0340</t>
  </si>
  <si>
    <t>STU0341</t>
  </si>
  <si>
    <t>Data Analysis, Excel, Git, SQL, Power BI</t>
  </si>
  <si>
    <t>STU0342</t>
  </si>
  <si>
    <t>Divya Shetty</t>
  </si>
  <si>
    <t>Excel, Power BI, JavaScript, React</t>
  </si>
  <si>
    <t>STU0343</t>
  </si>
  <si>
    <t>JavaScript, Java, Python</t>
  </si>
  <si>
    <t>STU0344</t>
  </si>
  <si>
    <t>Data Analysis, Python, JavaScript, React</t>
  </si>
  <si>
    <t>STU0345</t>
  </si>
  <si>
    <t>Arjun Kulkarni</t>
  </si>
  <si>
    <t>JavaScript, Power BI, React, HTML/CSS, Git</t>
  </si>
  <si>
    <t>STU0346</t>
  </si>
  <si>
    <t>Nisha Singh</t>
  </si>
  <si>
    <t>Excel, HTML/CSS, SQL</t>
  </si>
  <si>
    <t>STU0347</t>
  </si>
  <si>
    <t>STU0348</t>
  </si>
  <si>
    <t>React, Java, JavaScript, Data Analysis</t>
  </si>
  <si>
    <t>STU0349</t>
  </si>
  <si>
    <t>Sanjay Patil</t>
  </si>
  <si>
    <t>Data Analysis, Git, JavaScript</t>
  </si>
  <si>
    <t>STU0350</t>
  </si>
  <si>
    <t>Vikas Naik</t>
  </si>
  <si>
    <t>JavaScript, Power BI, Excel</t>
  </si>
  <si>
    <t>STU0351</t>
  </si>
  <si>
    <t>JavaScript, Git, HTML/CSS</t>
  </si>
  <si>
    <t>STU0352</t>
  </si>
  <si>
    <t>Pooja Desai</t>
  </si>
  <si>
    <t>STU0353</t>
  </si>
  <si>
    <t>Python, Git, Data Analysis</t>
  </si>
  <si>
    <t>STU0354</t>
  </si>
  <si>
    <t>Excel, React, Data Analysis, JavaScript</t>
  </si>
  <si>
    <t>STU0355</t>
  </si>
  <si>
    <t>Aditi Kulkarni</t>
  </si>
  <si>
    <t>STU0356</t>
  </si>
  <si>
    <t>HTML/CSS, SQL, Excel, React</t>
  </si>
  <si>
    <t>STU0357</t>
  </si>
  <si>
    <t>HTML/CSS, JavaScript, SQL, Data Analysis</t>
  </si>
  <si>
    <t>STU0358</t>
  </si>
  <si>
    <t>STU0359</t>
  </si>
  <si>
    <t>Varun Rao</t>
  </si>
  <si>
    <t>Git, Java, Power BI</t>
  </si>
  <si>
    <t>STU0360</t>
  </si>
  <si>
    <t>Karan Sharma</t>
  </si>
  <si>
    <t>STU0361</t>
  </si>
  <si>
    <t>Java, HTML/CSS, Data Analysis</t>
  </si>
  <si>
    <t>STU0362</t>
  </si>
  <si>
    <t>Deepak Pillai</t>
  </si>
  <si>
    <t>JavaScript, Excel, Power BI, React, HTML/CSS</t>
  </si>
  <si>
    <t>STU0363</t>
  </si>
  <si>
    <t>Sneha Kumar</t>
  </si>
  <si>
    <t>Data Analysis, Python, JavaScript, SQL, Power BI</t>
  </si>
  <si>
    <t>STU0364</t>
  </si>
  <si>
    <t>Pranav Reddy</t>
  </si>
  <si>
    <t>Java, Data Analysis, Power BI, SQL</t>
  </si>
  <si>
    <t>STU0365</t>
  </si>
  <si>
    <t>Arjun Nair</t>
  </si>
  <si>
    <t>Data Analysis, Power BI, HTML/CSS, SQL, Excel</t>
  </si>
  <si>
    <t>STU0366</t>
  </si>
  <si>
    <t>Git, SQL</t>
  </si>
  <si>
    <t>STU0367</t>
  </si>
  <si>
    <t>Power BI, Data Analysis, HTML/CSS, JavaScript</t>
  </si>
  <si>
    <t>STU0368</t>
  </si>
  <si>
    <t>Git, Java, Python, Excel</t>
  </si>
  <si>
    <t>STU0369</t>
  </si>
  <si>
    <t>Tanvi Mishra</t>
  </si>
  <si>
    <t>JavaScript, Python, React, Power BI, Data Analysis</t>
  </si>
  <si>
    <t>STU0370</t>
  </si>
  <si>
    <t>STU0371</t>
  </si>
  <si>
    <t>HTML/CSS, React, Data Analysis, Excel</t>
  </si>
  <si>
    <t>STU0372</t>
  </si>
  <si>
    <t>STU0373</t>
  </si>
  <si>
    <t>Riya Gowda</t>
  </si>
  <si>
    <t>Git, HTML/CSS, Java, SQL, Data Analysis</t>
  </si>
  <si>
    <t>STU0374</t>
  </si>
  <si>
    <t>JavaScript, SQL, Data Analysis, HTML/CSS</t>
  </si>
  <si>
    <t>STU0375</t>
  </si>
  <si>
    <t>STU0376</t>
  </si>
  <si>
    <t>Neha Mishra</t>
  </si>
  <si>
    <t>HTML/CSS, SQL, Excel, Power BI, JavaScript</t>
  </si>
  <si>
    <t>STU0377</t>
  </si>
  <si>
    <t>STU0378</t>
  </si>
  <si>
    <t>HTML/CSS, JavaScript, Python, React, Git</t>
  </si>
  <si>
    <t>STU0379</t>
  </si>
  <si>
    <t>Git, Python, React, Power BI, Java</t>
  </si>
  <si>
    <t>STU0380</t>
  </si>
  <si>
    <t>JavaScript, Data Analysis, HTML/CSS, Excel</t>
  </si>
  <si>
    <t>STU0381</t>
  </si>
  <si>
    <t>React, Data Analysis, SQL, Power BI</t>
  </si>
  <si>
    <t>STU0382</t>
  </si>
  <si>
    <t>Ishita Pillai</t>
  </si>
  <si>
    <t>Git, HTML/CSS, JavaScript, Python, React</t>
  </si>
  <si>
    <t>STU0383</t>
  </si>
  <si>
    <t>Harsh Shetty</t>
  </si>
  <si>
    <t>Git, Excel, Power BI, Java</t>
  </si>
  <si>
    <t>STU0384</t>
  </si>
  <si>
    <t>Bhavana Verma</t>
  </si>
  <si>
    <t>React, HTML/CSS, Python</t>
  </si>
  <si>
    <t>STU0385</t>
  </si>
  <si>
    <t>JavaScript, Git, Java, HTML/CSS, React</t>
  </si>
  <si>
    <t>STU0386</t>
  </si>
  <si>
    <t>Aarav Hegde</t>
  </si>
  <si>
    <t>JavaScript, Git, React</t>
  </si>
  <si>
    <t>STU0387</t>
  </si>
  <si>
    <t>JavaScript, Power BI, HTML/CSS, Python</t>
  </si>
  <si>
    <t>STU0388</t>
  </si>
  <si>
    <t>Nikhil Singh</t>
  </si>
  <si>
    <t>STU0389</t>
  </si>
  <si>
    <t>Git, SQL, Data Analysis</t>
  </si>
  <si>
    <t>STU0390</t>
  </si>
  <si>
    <t>Power BI, JavaScript, HTML/CSS, Python, SQL</t>
  </si>
  <si>
    <t>STU0391</t>
  </si>
  <si>
    <t>Python, React, SQL, Data Analysis, Power BI</t>
  </si>
  <si>
    <t>STU0392</t>
  </si>
  <si>
    <t>Riya Sharma</t>
  </si>
  <si>
    <t>Python, Excel, Data Analysis, HTML/CSS, Java</t>
  </si>
  <si>
    <t>STU0393</t>
  </si>
  <si>
    <t>Karan Hegde</t>
  </si>
  <si>
    <t>STU0394</t>
  </si>
  <si>
    <t>SQL, React, Power BI, HTML/CSS</t>
  </si>
  <si>
    <t>STU0395</t>
  </si>
  <si>
    <t>Varun Mishra</t>
  </si>
  <si>
    <t>Java, Python, Excel, SQL, React</t>
  </si>
  <si>
    <t>STU0396</t>
  </si>
  <si>
    <t>Ananya Nair</t>
  </si>
  <si>
    <t>STU0397</t>
  </si>
  <si>
    <t>Excel, Python</t>
  </si>
  <si>
    <t>STU0398</t>
  </si>
  <si>
    <t>Git, Python, SQL, JavaScript, Excel</t>
  </si>
  <si>
    <t>STU0399</t>
  </si>
  <si>
    <t>Tanvi Patil</t>
  </si>
  <si>
    <t>STU0400</t>
  </si>
  <si>
    <t>Sanjay Jain</t>
  </si>
  <si>
    <t>Data Analysis, Python, React, SQL</t>
  </si>
  <si>
    <t>STU0401</t>
  </si>
  <si>
    <t>STU0402</t>
  </si>
  <si>
    <t>Sanjay Hegde</t>
  </si>
  <si>
    <t>STU0403</t>
  </si>
  <si>
    <t>Divya Naik</t>
  </si>
  <si>
    <t>STU0404</t>
  </si>
  <si>
    <t>Meera Joshi</t>
  </si>
  <si>
    <t>React, Python, Data Analysis, HTML/CSS, Excel</t>
  </si>
  <si>
    <t>STU0405</t>
  </si>
  <si>
    <t>Nikhil Pillai</t>
  </si>
  <si>
    <t>STU0406</t>
  </si>
  <si>
    <t>Java, SQL, Git, HTML/CSS</t>
  </si>
  <si>
    <t>STU0407</t>
  </si>
  <si>
    <t>Karan Shetty</t>
  </si>
  <si>
    <t>HTML/CSS, Python, React, Git, SQL</t>
  </si>
  <si>
    <t>STU0408</t>
  </si>
  <si>
    <t>Neha Kulkarni</t>
  </si>
  <si>
    <t>Python, HTML/CSS, Java, Git, Power BI</t>
  </si>
  <si>
    <t>STU0409</t>
  </si>
  <si>
    <t>Divya Pillai</t>
  </si>
  <si>
    <t>React, Power BI, Excel, HTML/CSS, Java</t>
  </si>
  <si>
    <t>STU0410</t>
  </si>
  <si>
    <t>Vikas Rao</t>
  </si>
  <si>
    <t>STU0411</t>
  </si>
  <si>
    <t>Nisha Hegde</t>
  </si>
  <si>
    <t>Python, HTML/CSS, Power BI</t>
  </si>
  <si>
    <t>STU0412</t>
  </si>
  <si>
    <t>Python, JavaScript, Git, Data Analysis, React</t>
  </si>
  <si>
    <t>STU0413</t>
  </si>
  <si>
    <t>SQL, HTML/CSS, Excel</t>
  </si>
  <si>
    <t>STU0414</t>
  </si>
  <si>
    <t>STU0415</t>
  </si>
  <si>
    <t>Power BI, Excel, SQL, Python, JavaScript</t>
  </si>
  <si>
    <t>STU0416</t>
  </si>
  <si>
    <t>Ishita Reddy</t>
  </si>
  <si>
    <t>STU0417</t>
  </si>
  <si>
    <t>STU0418</t>
  </si>
  <si>
    <t>Data Analysis, HTML/CSS, JavaScript</t>
  </si>
  <si>
    <t>STU0419</t>
  </si>
  <si>
    <t>Bhavana Jain</t>
  </si>
  <si>
    <t>Java, React, HTML/CSS, Python</t>
  </si>
  <si>
    <t>STU0420</t>
  </si>
  <si>
    <t>Python, Java, SQL</t>
  </si>
  <si>
    <t>STU0421</t>
  </si>
  <si>
    <t>Pranav Kumar</t>
  </si>
  <si>
    <t>Data Analysis, Python, Power BI, Excel, JavaScript</t>
  </si>
  <si>
    <t>STU0422</t>
  </si>
  <si>
    <t>React, Power BI, Python, JavaScript</t>
  </si>
  <si>
    <t>STU0423</t>
  </si>
  <si>
    <t>React, HTML/CSS, SQL</t>
  </si>
  <si>
    <t>STU0424</t>
  </si>
  <si>
    <t>Aditi Singh</t>
  </si>
  <si>
    <t>Data Analysis, JavaScript</t>
  </si>
  <si>
    <t>STU0425</t>
  </si>
  <si>
    <t>Meera Naik</t>
  </si>
  <si>
    <t>HTML/CSS, Power BI, React, JavaScript</t>
  </si>
  <si>
    <t>STU0426</t>
  </si>
  <si>
    <t>Git, SQL, Python</t>
  </si>
  <si>
    <t>STU0427</t>
  </si>
  <si>
    <t>Vikas Pillai</t>
  </si>
  <si>
    <t>Git, Python, Java, SQL, React</t>
  </si>
  <si>
    <t>STU0428</t>
  </si>
  <si>
    <t>Sneha Gupta</t>
  </si>
  <si>
    <t>Power BI, React, SQL, HTML/CSS</t>
  </si>
  <si>
    <t>STU0429</t>
  </si>
  <si>
    <t>Git, React, JavaScript, Data Analysis</t>
  </si>
  <si>
    <t>STU0430</t>
  </si>
  <si>
    <t>Aditi Hegde</t>
  </si>
  <si>
    <t>HTML/CSS, Python, Excel</t>
  </si>
  <si>
    <t>STU0431</t>
  </si>
  <si>
    <t>Harsh Singh</t>
  </si>
  <si>
    <t>b.tech</t>
  </si>
  <si>
    <t>Data Analysis, HTML/CSS, Git</t>
  </si>
  <si>
    <t>STU0432</t>
  </si>
  <si>
    <t>React, JavaScript, HTML/CSS, SQL</t>
  </si>
  <si>
    <t>STU0433</t>
  </si>
  <si>
    <t>HTML/CSS, Power BI, Git, SQL, Java</t>
  </si>
  <si>
    <t>STU0434</t>
  </si>
  <si>
    <t>Power BI, Python, Java</t>
  </si>
  <si>
    <t>STU0435</t>
  </si>
  <si>
    <t>Tanvi Rao</t>
  </si>
  <si>
    <t>STU0436</t>
  </si>
  <si>
    <t>Python, Power BI</t>
  </si>
  <si>
    <t>STU0437</t>
  </si>
  <si>
    <t>Java, Power BI, Python</t>
  </si>
  <si>
    <t>STU0438</t>
  </si>
  <si>
    <t>Ananya Verma</t>
  </si>
  <si>
    <t>JavaScript, Git, Java, Power BI</t>
  </si>
  <si>
    <t>STU0439</t>
  </si>
  <si>
    <t>React, SQL, JavaScript, Python</t>
  </si>
  <si>
    <t>STU0440</t>
  </si>
  <si>
    <t>STU0441</t>
  </si>
  <si>
    <t>Ananya Gupta</t>
  </si>
  <si>
    <t>SQL, HTML/CSS, Java</t>
  </si>
  <si>
    <t>STU0442</t>
  </si>
  <si>
    <t>HTML/CSS, React, JavaScript, Java, Power BI</t>
  </si>
  <si>
    <t>STU0443</t>
  </si>
  <si>
    <t>React, Excel</t>
  </si>
  <si>
    <t>STU0444</t>
  </si>
  <si>
    <t>Java, Power BI, React, Git, Data Analysis</t>
  </si>
  <si>
    <t>STU0445</t>
  </si>
  <si>
    <t>STU0446</t>
  </si>
  <si>
    <t>Data Analysis, Git, React, Java, Power BI</t>
  </si>
  <si>
    <t>STU0447</t>
  </si>
  <si>
    <t>Tanvi Kumar</t>
  </si>
  <si>
    <t>Python, HTML/CSS</t>
  </si>
  <si>
    <t>STU0448</t>
  </si>
  <si>
    <t>Yash Hegde</t>
  </si>
  <si>
    <t>Java, Git, Power BI</t>
  </si>
  <si>
    <t>STU0449</t>
  </si>
  <si>
    <t>Manoj Pillai</t>
  </si>
  <si>
    <t>Git, Data Analysis, JavaScript, Python, Excel</t>
  </si>
  <si>
    <t>STU0450</t>
  </si>
  <si>
    <t>React, Data Analysis, HTML/CSS, SQL</t>
  </si>
  <si>
    <t>STU0451</t>
  </si>
  <si>
    <t>Varun Verma</t>
  </si>
  <si>
    <t>STU0452</t>
  </si>
  <si>
    <t>JavaScript, Data Analysis, HTML/CSS, SQL</t>
  </si>
  <si>
    <t>STU0453</t>
  </si>
  <si>
    <t>Power BI, Data Analysis, JavaScript, Git, HTML/CSS</t>
  </si>
  <si>
    <t>STU0454</t>
  </si>
  <si>
    <t>Aarav Gupta</t>
  </si>
  <si>
    <t>Power BI, Git, Python, React, HTML/CSS</t>
  </si>
  <si>
    <t>STU0455</t>
  </si>
  <si>
    <t>Python, Power BI, Git</t>
  </si>
  <si>
    <t>STU0456</t>
  </si>
  <si>
    <t>STU0457</t>
  </si>
  <si>
    <t>Data Analysis, Git</t>
  </si>
  <si>
    <t>STU0458</t>
  </si>
  <si>
    <t>Aditi Gowda</t>
  </si>
  <si>
    <t>Java, Python, SQL, React, JavaScript</t>
  </si>
  <si>
    <t>STU0459</t>
  </si>
  <si>
    <t>HTML/CSS, React, Git</t>
  </si>
  <si>
    <t>STU0460</t>
  </si>
  <si>
    <t>Pranav Joshi</t>
  </si>
  <si>
    <t>STU0461</t>
  </si>
  <si>
    <t>Nisha Gowda</t>
  </si>
  <si>
    <t>STU0462</t>
  </si>
  <si>
    <t>Data Analysis, SQL, HTML/CSS, Java</t>
  </si>
  <si>
    <t>STU0463</t>
  </si>
  <si>
    <t>Divya Verma</t>
  </si>
  <si>
    <t>STU0464</t>
  </si>
  <si>
    <t>Manoj Desai</t>
  </si>
  <si>
    <t>Power BI, Python, HTML/CSS</t>
  </si>
  <si>
    <t>STU0465</t>
  </si>
  <si>
    <t>STU0466</t>
  </si>
  <si>
    <t>Vikas Gowda</t>
  </si>
  <si>
    <t>Excel, Data Analysis</t>
  </si>
  <si>
    <t>STU0467</t>
  </si>
  <si>
    <t>Suraj Nair</t>
  </si>
  <si>
    <t>React, JavaScript, Python, Java</t>
  </si>
  <si>
    <t>STU0468</t>
  </si>
  <si>
    <t>Manoj Nair</t>
  </si>
  <si>
    <t>Java, HTML/CSS, React, Excel, JavaScript</t>
  </si>
  <si>
    <t>STU0469</t>
  </si>
  <si>
    <t>HTML/CSS, Java</t>
  </si>
  <si>
    <t>STU0470</t>
  </si>
  <si>
    <t>Neha Naik</t>
  </si>
  <si>
    <t>Python; Data Analysis; Excel; Power BI</t>
  </si>
  <si>
    <t>STU0471</t>
  </si>
  <si>
    <t>Kavya Bhat</t>
  </si>
  <si>
    <t>Python, React</t>
  </si>
  <si>
    <t>STU0472</t>
  </si>
  <si>
    <t>Varun Naik</t>
  </si>
  <si>
    <t>HTML/CSS, React, Python</t>
  </si>
  <si>
    <t>STU0473</t>
  </si>
  <si>
    <t>JavaScript, SQL, React, Excel, Java</t>
  </si>
  <si>
    <t>STU0474</t>
  </si>
  <si>
    <t>Python, Data Analysis, Power BI</t>
  </si>
  <si>
    <t>STU0475</t>
  </si>
  <si>
    <t>Vikas Kumar</t>
  </si>
  <si>
    <t>Excel, Power BI, SQL, Java</t>
  </si>
  <si>
    <t>STU0476</t>
  </si>
  <si>
    <t>Suraj Pillai</t>
  </si>
  <si>
    <t>Git, Excel, HTML/CSS, Data Analysis</t>
  </si>
  <si>
    <t>STU0477</t>
  </si>
  <si>
    <t>STU0478</t>
  </si>
  <si>
    <t>Neha Jain</t>
  </si>
  <si>
    <t>SQL, Power BI, React</t>
  </si>
  <si>
    <t>STU0479</t>
  </si>
  <si>
    <t>React, Power BI, JavaScript, Excel, Java</t>
  </si>
  <si>
    <t>STU0480</t>
  </si>
  <si>
    <t>Ishita Shetty</t>
  </si>
  <si>
    <t>React, Data Analysis, SQL</t>
  </si>
  <si>
    <t>Min_CGPA</t>
  </si>
  <si>
    <t>Max_Backlogs</t>
  </si>
  <si>
    <t>Required_Skill</t>
  </si>
  <si>
    <t>Hiring_Status</t>
  </si>
  <si>
    <t>SQL</t>
  </si>
  <si>
    <t>Open</t>
  </si>
  <si>
    <t>Excel</t>
  </si>
  <si>
    <t>Python</t>
  </si>
  <si>
    <t>Power BI</t>
  </si>
  <si>
    <t>Java</t>
  </si>
  <si>
    <t>Campus Placement Eligibility Engine</t>
  </si>
  <si>
    <t>Select Company</t>
  </si>
  <si>
    <t>Backlogs</t>
  </si>
  <si>
    <t>Eligible</t>
  </si>
  <si>
    <t>Reason</t>
  </si>
  <si>
    <t>Company</t>
  </si>
  <si>
    <t>Company Requirements</t>
  </si>
  <si>
    <t>Minimum CGPA</t>
  </si>
  <si>
    <t>Maximum Backlogs</t>
  </si>
  <si>
    <t>Required Skill</t>
  </si>
  <si>
    <t>Package (LPA)</t>
  </si>
  <si>
    <t>Campus Placement Analysis</t>
  </si>
  <si>
    <t>Total Students</t>
  </si>
  <si>
    <t>Eligible Students</t>
  </si>
  <si>
    <t>Not Eligible Students</t>
  </si>
  <si>
    <t>Eligibility %</t>
  </si>
  <si>
    <t>Selected Company</t>
  </si>
  <si>
    <t>Campus Placement Intelligence Dashboard</t>
  </si>
  <si>
    <t>Status</t>
  </si>
  <si>
    <t>Count</t>
  </si>
  <si>
    <t>Not Eligible</t>
  </si>
  <si>
    <t>Metric</t>
  </si>
  <si>
    <t>Value</t>
  </si>
  <si>
    <t>Student Search</t>
  </si>
  <si>
    <t>Enter Student ID</t>
  </si>
  <si>
    <t>Student Name</t>
  </si>
  <si>
    <t>Eligibility</t>
  </si>
  <si>
    <t>Overall_Rank</t>
  </si>
  <si>
    <t>Placement_Chance</t>
  </si>
  <si>
    <t>Grand Total</t>
  </si>
  <si>
    <t>Count of Student_ID</t>
  </si>
  <si>
    <t>Placement Status</t>
  </si>
  <si>
    <t>Companies</t>
  </si>
  <si>
    <t>Placement Status Summary</t>
  </si>
  <si>
    <t>Company-wise Placement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</si>
</sst>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0"/>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8"/>
      <color theme="0"/>
      <name val="Calibri"/>
      <family val="2"/>
      <scheme val="minor"/>
    </font>
    <font>
      <sz val="18"/>
      <color theme="1"/>
      <name val="Calibri"/>
      <family val="2"/>
      <scheme val="minor"/>
    </font>
    <font>
      <b/>
      <sz val="14"/>
      <color theme="1"/>
      <name val="Calibri"/>
      <family val="2"/>
      <scheme val="minor"/>
    </font>
  </fonts>
  <fills count="10">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499984740745262"/>
        <bgColor indexed="64"/>
      </patternFill>
    </fill>
    <fill>
      <patternFill patternType="solid">
        <fgColor theme="4" tint="0.59999389629810485"/>
        <bgColor indexed="64"/>
      </patternFill>
    </fill>
    <fill>
      <patternFill patternType="solid">
        <fgColor rgb="FFFF0000"/>
        <bgColor indexed="64"/>
      </patternFill>
    </fill>
    <fill>
      <patternFill patternType="solid">
        <fgColor theme="8" tint="0.59999389629810485"/>
        <bgColor indexed="64"/>
      </patternFill>
    </fill>
    <fill>
      <patternFill patternType="solid">
        <fgColor rgb="FF92D050"/>
        <bgColor indexed="64"/>
      </patternFill>
    </fill>
    <fill>
      <patternFill patternType="solid">
        <fgColor theme="4" tint="0.79998168889431442"/>
        <bgColor indexed="64"/>
      </patternFill>
    </fill>
  </fills>
  <borders count="8">
    <border>
      <left/>
      <right/>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9">
    <xf numFmtId="0" fontId="0" fillId="0" borderId="0" xfId="0"/>
    <xf numFmtId="0" fontId="1" fillId="2" borderId="1" xfId="0" applyNumberFormat="1" applyFont="1" applyFill="1" applyBorder="1"/>
    <xf numFmtId="0" fontId="1" fillId="2" borderId="2" xfId="0" applyNumberFormat="1" applyFont="1" applyFill="1" applyBorder="1"/>
    <xf numFmtId="0" fontId="1" fillId="2" borderId="3" xfId="0" applyNumberFormat="1" applyFont="1" applyFill="1" applyBorder="1"/>
    <xf numFmtId="0" fontId="0" fillId="3" borderId="1" xfId="0" applyNumberFormat="1" applyFont="1" applyFill="1" applyBorder="1"/>
    <xf numFmtId="0" fontId="0" fillId="3" borderId="2" xfId="0" applyNumberFormat="1" applyFont="1" applyFill="1" applyBorder="1"/>
    <xf numFmtId="0" fontId="0" fillId="3" borderId="3" xfId="0" applyNumberFormat="1" applyFont="1" applyFill="1" applyBorder="1"/>
    <xf numFmtId="0" fontId="0" fillId="0" borderId="1" xfId="0" applyNumberFormat="1" applyFont="1" applyBorder="1"/>
    <xf numFmtId="0" fontId="0" fillId="0" borderId="2" xfId="0" applyNumberFormat="1" applyFont="1" applyBorder="1"/>
    <xf numFmtId="0" fontId="0" fillId="0" borderId="3" xfId="0" applyNumberFormat="1" applyFont="1" applyBorder="1"/>
    <xf numFmtId="0" fontId="0" fillId="0" borderId="4" xfId="0" applyNumberFormat="1" applyFont="1" applyBorder="1"/>
    <xf numFmtId="0" fontId="0" fillId="0" borderId="5" xfId="0" applyNumberFormat="1" applyFont="1" applyBorder="1"/>
    <xf numFmtId="0" fontId="0" fillId="0" borderId="6" xfId="0" applyNumberFormat="1" applyFont="1" applyBorder="1"/>
    <xf numFmtId="0" fontId="0" fillId="0" borderId="0" xfId="0" applyAlignment="1">
      <alignment horizontal="center"/>
    </xf>
    <xf numFmtId="0" fontId="3" fillId="5" borderId="7" xfId="0" applyFont="1" applyFill="1" applyBorder="1" applyAlignment="1">
      <alignment horizontal="center"/>
    </xf>
    <xf numFmtId="0" fontId="0" fillId="5" borderId="7" xfId="0" applyFill="1" applyBorder="1" applyAlignment="1">
      <alignment horizontal="center"/>
    </xf>
    <xf numFmtId="10" fontId="0" fillId="5" borderId="7" xfId="0" applyNumberFormat="1" applyFill="1" applyBorder="1" applyAlignment="1">
      <alignment horizontal="center"/>
    </xf>
    <xf numFmtId="10" fontId="3" fillId="5" borderId="7" xfId="0" applyNumberFormat="1" applyFont="1" applyFill="1" applyBorder="1" applyAlignment="1">
      <alignment horizontal="center"/>
    </xf>
    <xf numFmtId="0" fontId="1" fillId="2" borderId="0"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0" fontId="4" fillId="6" borderId="0" xfId="0" applyFont="1" applyFill="1" applyAlignment="1">
      <alignment horizontal="center"/>
    </xf>
    <xf numFmtId="0" fontId="5" fillId="4" borderId="0" xfId="0" applyFont="1" applyFill="1" applyAlignment="1">
      <alignment horizontal="center"/>
    </xf>
    <xf numFmtId="0" fontId="6" fillId="6" borderId="0" xfId="0" applyFont="1" applyFill="1" applyAlignment="1">
      <alignment horizontal="center"/>
    </xf>
    <xf numFmtId="0" fontId="0" fillId="7" borderId="0" xfId="0" applyFill="1"/>
    <xf numFmtId="10" fontId="0" fillId="7" borderId="0" xfId="1" applyNumberFormat="1" applyFont="1" applyFill="1"/>
    <xf numFmtId="0" fontId="0" fillId="8" borderId="0" xfId="0" applyFill="1"/>
    <xf numFmtId="0" fontId="7" fillId="9" borderId="0" xfId="0" applyFont="1" applyFill="1" applyAlignment="1">
      <alignment horizontal="center"/>
    </xf>
  </cellXfs>
  <cellStyles count="2">
    <cellStyle name="Normal" xfId="0" builtinId="0"/>
    <cellStyle name="Percent" xfId="1" builtinId="5"/>
  </cellStyles>
  <dxfs count="23">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minor"/>
      </font>
      <numFmt numFmtId="0" formatCode="General"/>
      <border diagonalUp="0" diagonalDown="0">
        <left/>
        <right style="thin">
          <color theme="9" tint="0.39997558519241921"/>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border>
    </dxf>
    <dxf>
      <font>
        <b/>
        <i val="0"/>
        <strike val="0"/>
        <condense val="0"/>
        <extend val="0"/>
        <outline val="0"/>
        <shadow val="0"/>
        <u val="none"/>
        <vertAlign val="baseline"/>
        <sz val="11"/>
        <color theme="0"/>
        <name val="Calibri"/>
        <scheme val="minor"/>
      </font>
      <numFmt numFmtId="0" formatCode="General"/>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Eligibility Distribution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Dashboard!$E$5</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3F-4F17-8710-3B97AB0C7F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3F-4F17-8710-3B97AB0C7F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Dashboard!$D$6:$D$7</c:f>
              <c:strCache>
                <c:ptCount val="2"/>
                <c:pt idx="0">
                  <c:v>Eligible</c:v>
                </c:pt>
                <c:pt idx="1">
                  <c:v>Not Eligible</c:v>
                </c:pt>
              </c:strCache>
            </c:strRef>
          </c:cat>
          <c:val>
            <c:numRef>
              <c:f>Dashboard!$E$6:$E$7</c:f>
              <c:numCache>
                <c:formatCode>General</c:formatCode>
                <c:ptCount val="2"/>
                <c:pt idx="0">
                  <c:v>84</c:v>
                </c:pt>
                <c:pt idx="1">
                  <c:v>396</c:v>
                </c:pt>
              </c:numCache>
            </c:numRef>
          </c:val>
          <c:extLst>
            <c:ext xmlns:c16="http://schemas.microsoft.com/office/drawing/2014/chart" uri="{C3380CC4-5D6E-409C-BE32-E72D297353CC}">
              <c16:uniqueId val="{00000000-62F8-4EE0-877A-A51441FFE57A}"/>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Placement Eligibility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Dashboard!$E$10</c:f>
              <c:strCache>
                <c:ptCount val="1"/>
                <c:pt idx="0">
                  <c:v>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Dashboard!$D$11:$D$14</c:f>
              <c:strCache>
                <c:ptCount val="4"/>
                <c:pt idx="0">
                  <c:v>Total Students</c:v>
                </c:pt>
                <c:pt idx="1">
                  <c:v>Eligible</c:v>
                </c:pt>
                <c:pt idx="2">
                  <c:v>Not Eligible</c:v>
                </c:pt>
                <c:pt idx="3">
                  <c:v>Eligibility %</c:v>
                </c:pt>
              </c:strCache>
            </c:strRef>
          </c:cat>
          <c:val>
            <c:numRef>
              <c:f>Dashboard!$E$11:$E$14</c:f>
              <c:numCache>
                <c:formatCode>General</c:formatCode>
                <c:ptCount val="4"/>
                <c:pt idx="0">
                  <c:v>480</c:v>
                </c:pt>
                <c:pt idx="1">
                  <c:v>84</c:v>
                </c:pt>
                <c:pt idx="2">
                  <c:v>396</c:v>
                </c:pt>
                <c:pt idx="3" formatCode="0.00%">
                  <c:v>0.17499999999999999</c:v>
                </c:pt>
              </c:numCache>
            </c:numRef>
          </c:val>
          <c:extLst>
            <c:ext xmlns:c16="http://schemas.microsoft.com/office/drawing/2014/chart" uri="{C3380CC4-5D6E-409C-BE32-E72D297353CC}">
              <c16:uniqueId val="{00000000-AC39-4FD4-97D6-938FFE083F2B}"/>
            </c:ext>
          </c:extLst>
        </c:ser>
        <c:dLbls>
          <c:showLegendKey val="0"/>
          <c:showVal val="0"/>
          <c:showCatName val="0"/>
          <c:showSerName val="0"/>
          <c:showPercent val="0"/>
          <c:showBubbleSize val="0"/>
        </c:dLbls>
        <c:gapWidth val="219"/>
        <c:overlap val="-27"/>
        <c:axId val="1119941840"/>
        <c:axId val="1119943504"/>
      </c:barChart>
      <c:catAx>
        <c:axId val="111994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43504"/>
        <c:crosses val="autoZero"/>
        <c:auto val="1"/>
        <c:lblAlgn val="ctr"/>
        <c:lblOffset val="100"/>
        <c:noMultiLvlLbl val="0"/>
      </c:catAx>
      <c:valAx>
        <c:axId val="111994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941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[Campus_Placement_Intelligence_Final.xlsx]Pivot_Analysis!PivotTable1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Students by Placement Status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Pivot_Analysis!$A$4:$A$7</c:f>
              <c:strCache>
                <c:ptCount val="3"/>
                <c:pt idx="0">
                  <c:v>In Process</c:v>
                </c:pt>
                <c:pt idx="1">
                  <c:v>Not Placed</c:v>
                </c:pt>
                <c:pt idx="2">
                  <c:v>Placed</c:v>
                </c:pt>
              </c:strCache>
            </c:strRef>
          </c:cat>
          <c:val>
            <c:numRef>
              <c:f>Pivot_Analysis!$B$4:$B$7</c:f>
              <c:numCache>
                <c:formatCode>General</c:formatCode>
                <c:ptCount val="3"/>
                <c:pt idx="0">
                  <c:v>31</c:v>
                </c:pt>
                <c:pt idx="1">
                  <c:v>54</c:v>
                </c:pt>
                <c:pt idx="2">
                  <c:v>53</c:v>
                </c:pt>
              </c:numCache>
            </c:numRef>
          </c:val>
          <c:extLst>
            <c:ext xmlns:c16="http://schemas.microsoft.com/office/drawing/2014/chart" uri="{C3380CC4-5D6E-409C-BE32-E72D297353CC}">
              <c16:uniqueId val="{00000000-3F5A-4C9E-B371-38D333486701}"/>
            </c:ext>
          </c:extLst>
        </c:ser>
        <c:dLbls>
          <c:showLegendKey val="0"/>
          <c:showVal val="0"/>
          <c:showCatName val="0"/>
          <c:showSerName val="0"/>
          <c:showPercent val="0"/>
          <c:showBubbleSize val="0"/>
        </c:dLbls>
        <c:gapWidth val="219"/>
        <c:overlap val="-27"/>
        <c:axId val="110264592"/>
        <c:axId val="110260848"/>
      </c:barChart>
      <c:catAx>
        <c:axId val="11026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0848"/>
        <c:crosses val="autoZero"/>
        <c:auto val="1"/>
        <c:lblAlgn val="ctr"/>
        <c:lblOffset val="100"/>
        <c:noMultiLvlLbl val="0"/>
      </c:catAx>
      <c:valAx>
        <c:axId val="11026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4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Students Placed by Company</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8B4E-480C-B2B2-102B761358BE}"/>
              </c:ext>
            </c:extLst>
          </c:dPt>
          <c:dPt>
            <c:idx val="1"/>
            <c:bubble3D val="0"/>
            <c:spPr>
              <a:solidFill>
                <a:schemeClr val="accent2"/>
              </a:solidFill>
              <a:ln>
                <a:noFill/>
              </a:ln>
              <a:effectLst/>
            </c:spPr>
            <c:extLst>
              <c:ext xmlns:c16="http://schemas.microsoft.com/office/drawing/2014/chart" uri="{C3380CC4-5D6E-409C-BE32-E72D297353CC}">
                <c16:uniqueId val="{00000003-8B4E-480C-B2B2-102B761358BE}"/>
              </c:ext>
            </c:extLst>
          </c:dPt>
          <c:dPt>
            <c:idx val="2"/>
            <c:bubble3D val="0"/>
            <c:spPr>
              <a:solidFill>
                <a:schemeClr val="accent3"/>
              </a:solidFill>
              <a:ln>
                <a:noFill/>
              </a:ln>
              <a:effectLst/>
            </c:spPr>
            <c:extLst>
              <c:ext xmlns:c16="http://schemas.microsoft.com/office/drawing/2014/chart" uri="{C3380CC4-5D6E-409C-BE32-E72D297353CC}">
                <c16:uniqueId val="{00000005-8B4E-480C-B2B2-102B761358BE}"/>
              </c:ext>
            </c:extLst>
          </c:dPt>
          <c:dPt>
            <c:idx val="3"/>
            <c:bubble3D val="0"/>
            <c:spPr>
              <a:solidFill>
                <a:schemeClr val="accent4"/>
              </a:solidFill>
              <a:ln>
                <a:noFill/>
              </a:ln>
              <a:effectLst/>
            </c:spPr>
            <c:extLst>
              <c:ext xmlns:c16="http://schemas.microsoft.com/office/drawing/2014/chart" uri="{C3380CC4-5D6E-409C-BE32-E72D297353CC}">
                <c16:uniqueId val="{00000007-8B4E-480C-B2B2-102B761358BE}"/>
              </c:ext>
            </c:extLst>
          </c:dPt>
          <c:dPt>
            <c:idx val="4"/>
            <c:bubble3D val="0"/>
            <c:spPr>
              <a:solidFill>
                <a:schemeClr val="accent5"/>
              </a:solidFill>
              <a:ln>
                <a:noFill/>
              </a:ln>
              <a:effectLst/>
            </c:spPr>
            <c:extLst>
              <c:ext xmlns:c16="http://schemas.microsoft.com/office/drawing/2014/chart" uri="{C3380CC4-5D6E-409C-BE32-E72D297353CC}">
                <c16:uniqueId val="{00000009-8B4E-480C-B2B2-102B761358BE}"/>
              </c:ext>
            </c:extLst>
          </c:dPt>
          <c:dPt>
            <c:idx val="5"/>
            <c:bubble3D val="0"/>
            <c:spPr>
              <a:solidFill>
                <a:schemeClr val="accent6"/>
              </a:solidFill>
              <a:ln>
                <a:noFill/>
              </a:ln>
              <a:effectLst/>
            </c:spPr>
            <c:extLst>
              <c:ext xmlns:c16="http://schemas.microsoft.com/office/drawing/2014/chart" uri="{C3380CC4-5D6E-409C-BE32-E72D297353CC}">
                <c16:uniqueId val="{0000000B-8B4E-480C-B2B2-102B761358B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8B4E-480C-B2B2-102B761358B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8B4E-480C-B2B2-102B761358B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8B4E-480C-B2B2-102B761358B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8B4E-480C-B2B2-102B761358BE}"/>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8B4E-480C-B2B2-102B761358BE}"/>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8B4E-480C-B2B2-102B761358BE}"/>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8B4E-480C-B2B2-102B761358BE}"/>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8B4E-480C-B2B2-102B761358BE}"/>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8B4E-480C-B2B2-102B761358BE}"/>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8B4E-480C-B2B2-102B761358BE}"/>
              </c:ext>
            </c:extLst>
          </c:dPt>
          <c:cat>
            <c:strLit>
              <c:ptCount val="16"/>
              <c:pt idx="1">
                <c:v>Mindtree</c:v>
              </c:pt>
              <c:pt idx="2">
                <c:v>Capgemini</c:v>
              </c:pt>
              <c:pt idx="3">
                <c:v>SAP Labs</c:v>
              </c:pt>
              <c:pt idx="4">
                <c:v>Zoho</c:v>
              </c:pt>
              <c:pt idx="5">
                <c:v>Cognizant</c:v>
              </c:pt>
              <c:pt idx="6">
                <c:v>IBM</c:v>
              </c:pt>
              <c:pt idx="7">
                <c:v>Wipro</c:v>
              </c:pt>
              <c:pt idx="8">
                <c:v>Deloitte</c:v>
              </c:pt>
              <c:pt idx="9">
                <c:v>TCS</c:v>
              </c:pt>
              <c:pt idx="10">
                <c:v>Accenture</c:v>
              </c:pt>
              <c:pt idx="11">
                <c:v>Tech Mahindra</c:v>
              </c:pt>
              <c:pt idx="12">
                <c:v>Oracle</c:v>
              </c:pt>
              <c:pt idx="13">
                <c:v>Bosch</c:v>
              </c:pt>
              <c:pt idx="14">
                <c:v>LTIMindtree</c:v>
              </c:pt>
              <c:pt idx="15">
                <c:v>Infosys</c:v>
              </c:pt>
            </c:strLit>
          </c:cat>
          <c:val>
            <c:numLit>
              <c:formatCode>General</c:formatCode>
              <c:ptCount val="16"/>
              <c:pt idx="0">
                <c:v>289</c:v>
              </c:pt>
              <c:pt idx="1">
                <c:v>21</c:v>
              </c:pt>
              <c:pt idx="2">
                <c:v>18</c:v>
              </c:pt>
              <c:pt idx="3">
                <c:v>15</c:v>
              </c:pt>
              <c:pt idx="4">
                <c:v>15</c:v>
              </c:pt>
              <c:pt idx="5">
                <c:v>14</c:v>
              </c:pt>
              <c:pt idx="6">
                <c:v>14</c:v>
              </c:pt>
              <c:pt idx="7">
                <c:v>13</c:v>
              </c:pt>
              <c:pt idx="8">
                <c:v>13</c:v>
              </c:pt>
              <c:pt idx="9">
                <c:v>11</c:v>
              </c:pt>
              <c:pt idx="10">
                <c:v>11</c:v>
              </c:pt>
              <c:pt idx="11">
                <c:v>10</c:v>
              </c:pt>
              <c:pt idx="12">
                <c:v>10</c:v>
              </c:pt>
              <c:pt idx="13">
                <c:v>10</c:v>
              </c:pt>
              <c:pt idx="14">
                <c:v>8</c:v>
              </c:pt>
              <c:pt idx="15">
                <c:v>8</c:v>
              </c:pt>
            </c:numLit>
          </c:val>
          <c:extLst>
            <c:ext xmlns:c16="http://schemas.microsoft.com/office/drawing/2014/chart" uri="{C3380CC4-5D6E-409C-BE32-E72D297353CC}">
              <c16:uniqueId val="{00000020-8B4E-480C-B2B2-102B761358B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xdr:colOff>
      <xdr:row>15</xdr:row>
      <xdr:rowOff>9525</xdr:rowOff>
    </xdr:from>
    <xdr:to>
      <xdr:col>0</xdr:col>
      <xdr:colOff>4391025</xdr:colOff>
      <xdr:row>28</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4471987</xdr:colOff>
      <xdr:row>15</xdr:row>
      <xdr:rowOff>9525</xdr:rowOff>
    </xdr:from>
    <xdr:to>
      <xdr:col>6</xdr:col>
      <xdr:colOff>0</xdr:colOff>
      <xdr:row>28</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xdr:row>
      <xdr:rowOff>180975</xdr:rowOff>
    </xdr:from>
    <xdr:to>
      <xdr:col>8</xdr:col>
      <xdr:colOff>95250</xdr:colOff>
      <xdr:row>15</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161925</xdr:colOff>
      <xdr:row>2</xdr:row>
      <xdr:rowOff>9525</xdr:rowOff>
    </xdr:from>
    <xdr:to>
      <xdr:col>11</xdr:col>
      <xdr:colOff>161925</xdr:colOff>
      <xdr:row>15</xdr:row>
      <xdr:rowOff>57150</xdr:rowOff>
    </xdr:to>
    <mc:AlternateContent xmlns:mc="http://schemas.openxmlformats.org/markup-compatibility/2006">
      <mc:Choice xmlns:a14="http://schemas.microsoft.com/office/drawing/2010/main" Requires="a14">
        <xdr:graphicFrame macro="">
          <xdr:nvGraphicFramePr>
            <xdr:cNvPr id="6" name="Degree 1"/>
            <xdr:cNvGraphicFramePr/>
          </xdr:nvGraphicFramePr>
          <xdr:xfrm>
            <a:off x="0" y="0"/>
            <a:ext cx="0" cy="0"/>
          </xdr:xfrm>
          <a:graphic>
            <a:graphicData uri="http://schemas.microsoft.com/office/drawing/2010/slicer">
              <sle:slicer xmlns:sle="http://schemas.microsoft.com/office/drawing/2010/slicer" name="Degree 1"/>
            </a:graphicData>
          </a:graphic>
        </xdr:graphicFrame>
      </mc:Choice>
      <mc:Fallback>
        <xdr:sp macro="" textlink="">
          <xdr:nvSpPr>
            <xdr:cNvPr id="0" name=""/>
            <xdr:cNvSpPr>
              <a:spLocks noTextEdit="1"/>
            </xdr:cNvSpPr>
          </xdr:nvSpPr>
          <xdr:spPr>
            <a:xfrm>
              <a:off x="6772275" y="43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209550</xdr:colOff>
      <xdr:row>2</xdr:row>
      <xdr:rowOff>9525</xdr:rowOff>
    </xdr:from>
    <xdr:to>
      <xdr:col>14</xdr:col>
      <xdr:colOff>209550</xdr:colOff>
      <xdr:row>15</xdr:row>
      <xdr:rowOff>57150</xdr:rowOff>
    </xdr:to>
    <mc:AlternateContent xmlns:mc="http://schemas.openxmlformats.org/markup-compatibility/2006">
      <mc:Choice xmlns:a14="http://schemas.microsoft.com/office/drawing/2010/main" Requires="a14">
        <xdr:graphicFrame macro="">
          <xdr:nvGraphicFramePr>
            <xdr:cNvPr id="7" name="Specialization 1"/>
            <xdr:cNvGraphicFramePr/>
          </xdr:nvGraphicFramePr>
          <xdr:xfrm>
            <a:off x="0" y="0"/>
            <a:ext cx="0" cy="0"/>
          </xdr:xfrm>
          <a:graphic>
            <a:graphicData uri="http://schemas.microsoft.com/office/drawing/2010/slicer">
              <sle:slicer xmlns:sle="http://schemas.microsoft.com/office/drawing/2010/slicer" name="Specialization 1"/>
            </a:graphicData>
          </a:graphic>
        </xdr:graphicFrame>
      </mc:Choice>
      <mc:Fallback>
        <xdr:sp macro="" textlink="">
          <xdr:nvSpPr>
            <xdr:cNvPr id="0" name=""/>
            <xdr:cNvSpPr>
              <a:spLocks noTextEdit="1"/>
            </xdr:cNvSpPr>
          </xdr:nvSpPr>
          <xdr:spPr>
            <a:xfrm>
              <a:off x="8648700" y="43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276225</xdr:colOff>
      <xdr:row>2</xdr:row>
      <xdr:rowOff>9525</xdr:rowOff>
    </xdr:from>
    <xdr:to>
      <xdr:col>17</xdr:col>
      <xdr:colOff>276225</xdr:colOff>
      <xdr:row>15</xdr:row>
      <xdr:rowOff>57150</xdr:rowOff>
    </xdr:to>
    <mc:AlternateContent xmlns:mc="http://schemas.openxmlformats.org/markup-compatibility/2006">
      <mc:Choice xmlns:a14="http://schemas.microsoft.com/office/drawing/2010/main" Requires="a14">
        <xdr:graphicFrame macro="">
          <xdr:nvGraphicFramePr>
            <xdr:cNvPr id="8" name="Placement_Status 1"/>
            <xdr:cNvGraphicFramePr/>
          </xdr:nvGraphicFramePr>
          <xdr:xfrm>
            <a:off x="0" y="0"/>
            <a:ext cx="0" cy="0"/>
          </xdr:xfrm>
          <a:graphic>
            <a:graphicData uri="http://schemas.microsoft.com/office/drawing/2010/slicer">
              <sle:slicer xmlns:sle="http://schemas.microsoft.com/office/drawing/2010/slicer" name="Placement_Status 1"/>
            </a:graphicData>
          </a:graphic>
        </xdr:graphicFrame>
      </mc:Choice>
      <mc:Fallback>
        <xdr:sp macro="" textlink="">
          <xdr:nvSpPr>
            <xdr:cNvPr id="0" name=""/>
            <xdr:cNvSpPr>
              <a:spLocks noTextEdit="1"/>
            </xdr:cNvSpPr>
          </xdr:nvSpPr>
          <xdr:spPr>
            <a:xfrm>
              <a:off x="10544175" y="43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123825</xdr:colOff>
      <xdr:row>20</xdr:row>
      <xdr:rowOff>0</xdr:rowOff>
    </xdr:from>
    <xdr:to>
      <xdr:col>9</xdr:col>
      <xdr:colOff>504825</xdr:colOff>
      <xdr:row>32</xdr:row>
      <xdr:rowOff>76200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aishnavi Padmashali" refreshedDate="46239.75342025463" createdVersion="6" refreshedVersion="6" minRefreshableVersion="3" recordCount="480">
  <cacheSource type="worksheet">
    <worksheetSource name="Table1"/>
  </cacheSource>
  <cacheFields count="15">
    <cacheField name="Student_ID" numFmtId="0">
      <sharedItems count="480">
        <s v="STU0001"/>
        <s v="STU0002"/>
        <s v="STU0003"/>
        <s v="STU0004"/>
        <s v="STU0005"/>
        <s v="STU0006"/>
        <s v="STU0007"/>
        <s v="STU0008"/>
        <s v="STU0009"/>
        <s v="STU0010"/>
        <s v="STU0011"/>
        <s v="STU0012"/>
        <s v="STU0013"/>
        <s v="STU0014"/>
        <s v="STU0015"/>
        <s v="STU0016"/>
        <s v="STU0017"/>
        <s v="STU0018"/>
        <s v="STU0019"/>
        <s v="STU0020"/>
        <s v="STU0021"/>
        <s v="STU0022"/>
        <s v="STU0023"/>
        <s v="STU0024"/>
        <s v="STU0025"/>
        <s v="STU0026"/>
        <s v="STU0027"/>
        <s v="STU0028"/>
        <s v="STU0029"/>
        <s v="STU0030"/>
        <s v="STU0031"/>
        <s v="STU0032"/>
        <s v="STU0033"/>
        <s v="STU0034"/>
        <s v="STU0035"/>
        <s v="STU0036"/>
        <s v="STU0037"/>
        <s v="STU0038"/>
        <s v="STU0039"/>
        <s v="STU0040"/>
        <s v="STU0041"/>
        <s v="STU0042"/>
        <s v="STU0043"/>
        <s v="STU0044"/>
        <s v="STU0045"/>
        <s v="STU0046"/>
        <s v="STU0047"/>
        <s v="STU0048"/>
        <s v="STU0049"/>
        <s v="STU0050"/>
        <s v="STU0051"/>
        <s v="STU0052"/>
        <s v="STU0053"/>
        <s v="STU0054"/>
        <s v="STU0055"/>
        <s v="STU0056"/>
        <s v="STU0057"/>
        <s v="STU0058"/>
        <s v="STU0059"/>
        <s v="STU0060"/>
        <s v="STU0061"/>
        <s v="STU0062"/>
        <s v="STU0063"/>
        <s v="STU0064"/>
        <s v="STU0065"/>
        <s v="STU0066"/>
        <s v="STU0067"/>
        <s v="STU0068"/>
        <s v="STU0069"/>
        <s v="STU0070"/>
        <s v="STU0071"/>
        <s v="STU0072"/>
        <s v="STU0073"/>
        <s v="STU0074"/>
        <s v="STU0075"/>
        <s v="STU0076"/>
        <s v="STU0077"/>
        <s v="STU0078"/>
        <s v="STU0079"/>
        <s v="STU0080"/>
        <s v="STU0081"/>
        <s v="STU0082"/>
        <s v="STU0083"/>
        <s v="STU0084"/>
        <s v="STU0085"/>
        <s v="STU0086"/>
        <s v="STU0087"/>
        <s v="STU0088"/>
        <s v="STU0089"/>
        <s v="STU0090"/>
        <s v="STU0091"/>
        <s v="STU0092"/>
        <s v="STU0093"/>
        <s v="STU0094"/>
        <s v="STU0095"/>
        <s v="STU0096"/>
        <s v="STU0097"/>
        <s v="STU0098"/>
        <s v="STU0099"/>
        <s v="STU0100"/>
        <s v="STU0101"/>
        <s v="STU0102"/>
        <s v="STU0103"/>
        <s v="STU0104"/>
        <s v="STU0105"/>
        <s v="STU0106"/>
        <s v="STU0107"/>
        <s v="STU0108"/>
        <s v="STU0109"/>
        <s v="STU0110"/>
        <s v="STU0111"/>
        <s v="STU0112"/>
        <s v="STU0113"/>
        <s v="STU0114"/>
        <s v="STU0115"/>
        <s v="STU0116"/>
        <s v="STU0117"/>
        <s v="STU0118"/>
        <s v="STU0119"/>
        <s v="STU0120"/>
        <s v="STU0121"/>
        <s v="STU0122"/>
        <s v="STU0123"/>
        <s v="STU0124"/>
        <s v="STU0125"/>
        <s v="STU0126"/>
        <s v="STU0127"/>
        <s v="STU0128"/>
        <s v="STU0129"/>
        <s v="STU0130"/>
        <s v="STU0131"/>
        <s v="STU0132"/>
        <s v="STU0133"/>
        <s v="STU0134"/>
        <s v="STU0135"/>
        <s v="STU0136"/>
        <s v="STU0137"/>
        <s v="STU0138"/>
        <s v="STU0139"/>
        <s v="STU0140"/>
        <s v="STU0141"/>
        <s v="STU0142"/>
        <s v="STU0143"/>
        <s v="STU0144"/>
        <s v="STU0145"/>
        <s v="STU0146"/>
        <s v="STU0147"/>
        <s v="STU0148"/>
        <s v="STU0149"/>
        <s v="STU0150"/>
        <s v="STU0151"/>
        <s v="STU0152"/>
        <s v="STU0153"/>
        <s v="STU0154"/>
        <s v="STU0155"/>
        <s v="STU0156"/>
        <s v="STU0157"/>
        <s v="STU0158"/>
        <s v="STU0159"/>
        <s v="STU0160"/>
        <s v="STU0161"/>
        <s v="STU0162"/>
        <s v="STU0163"/>
        <s v="STU0164"/>
        <s v="STU0165"/>
        <s v="STU0166"/>
        <s v="STU0167"/>
        <s v="STU0168"/>
        <s v="STU0169"/>
        <s v="STU0170"/>
        <s v="STU0171"/>
        <s v="STU0172"/>
        <s v="STU0173"/>
        <s v="STU0174"/>
        <s v="STU0175"/>
        <s v="STU0176"/>
        <s v="STU0177"/>
        <s v="STU0178"/>
        <s v="STU0179"/>
        <s v="STU0180"/>
        <s v="STU0181"/>
        <s v="STU0182"/>
        <s v="STU0183"/>
        <s v="STU0184"/>
        <s v="STU0185"/>
        <s v="STU0186"/>
        <s v="STU0187"/>
        <s v="STU0188"/>
        <s v="STU0189"/>
        <s v="STU0190"/>
        <s v="STU0191"/>
        <s v="STU0192"/>
        <s v="STU0193"/>
        <s v="STU0194"/>
        <s v="STU0195"/>
        <s v="STU0196"/>
        <s v="STU0197"/>
        <s v="STU0198"/>
        <s v="STU0199"/>
        <s v="STU0200"/>
        <s v="STU0201"/>
        <s v="STU0202"/>
        <s v="STU0203"/>
        <s v="STU0204"/>
        <s v="STU0205"/>
        <s v="STU0206"/>
        <s v="STU0207"/>
        <s v="STU0208"/>
        <s v="STU0209"/>
        <s v="STU0210"/>
        <s v="STU0211"/>
        <s v="STU0212"/>
        <s v="STU0213"/>
        <s v="STU0214"/>
        <s v="STU0215"/>
        <s v="STU0216"/>
        <s v="STU0217"/>
        <s v="STU0218"/>
        <s v="STU0219"/>
        <s v="STU0220"/>
        <s v="STU0221"/>
        <s v="STU0222"/>
        <s v="STU0223"/>
        <s v="STU0224"/>
        <s v="STU0225"/>
        <s v="STU0226"/>
        <s v="STU0227"/>
        <s v="STU0228"/>
        <s v="STU0229"/>
        <s v="STU0230"/>
        <s v="STU0231"/>
        <s v="STU0232"/>
        <s v="STU0233"/>
        <s v="STU0234"/>
        <s v="STU0235"/>
        <s v="STU0236"/>
        <s v="STU0237"/>
        <s v="STU0238"/>
        <s v="STU0239"/>
        <s v="STU0240"/>
        <s v="STU0241"/>
        <s v="STU0242"/>
        <s v="STU0243"/>
        <s v="STU0244"/>
        <s v="STU0245"/>
        <s v="STU0246"/>
        <s v="STU0247"/>
        <s v="STU0248"/>
        <s v="STU0249"/>
        <s v="STU0250"/>
        <s v="STU0251"/>
        <s v="STU0252"/>
        <s v="STU0253"/>
        <s v="STU0254"/>
        <s v="STU0255"/>
        <s v="STU0256"/>
        <s v="STU0257"/>
        <s v="STU0258"/>
        <s v="STU0259"/>
        <s v="STU0260"/>
        <s v="STU0261"/>
        <s v="STU0262"/>
        <s v="STU0263"/>
        <s v="STU0264"/>
        <s v="STU0265"/>
        <s v="STU0266"/>
        <s v="STU0267"/>
        <s v="STU0268"/>
        <s v="STU0269"/>
        <s v="STU0270"/>
        <s v="STU0271"/>
        <s v="STU0272"/>
        <s v="STU0273"/>
        <s v="STU0274"/>
        <s v="STU0275"/>
        <s v="STU0276"/>
        <s v="STU0277"/>
        <s v="STU0278"/>
        <s v="STU0279"/>
        <s v="STU0280"/>
        <s v="STU0281"/>
        <s v="STU0282"/>
        <s v="STU0283"/>
        <s v="STU0284"/>
        <s v="STU0285"/>
        <s v="STU0286"/>
        <s v="STU0287"/>
        <s v="STU0288"/>
        <s v="STU0289"/>
        <s v="STU0290"/>
        <s v="STU0291"/>
        <s v="STU0292"/>
        <s v="STU0293"/>
        <s v="STU0294"/>
        <s v="STU0295"/>
        <s v="STU0296"/>
        <s v="STU0297"/>
        <s v="STU0298"/>
        <s v="STU0299"/>
        <s v="STU0300"/>
        <s v="STU0301"/>
        <s v="STU0302"/>
        <s v="STU0303"/>
        <s v="STU0304"/>
        <s v="STU0305"/>
        <s v="STU0306"/>
        <s v="STU0307"/>
        <s v="STU0308"/>
        <s v="STU0309"/>
        <s v="STU0310"/>
        <s v="STU0311"/>
        <s v="STU0312"/>
        <s v="STU0313"/>
        <s v="STU0314"/>
        <s v="STU0315"/>
        <s v="STU0316"/>
        <s v="STU0317"/>
        <s v="STU0318"/>
        <s v="STU0319"/>
        <s v="STU0320"/>
        <s v="STU0321"/>
        <s v="STU0322"/>
        <s v="STU0323"/>
        <s v="STU0324"/>
        <s v="STU0325"/>
        <s v="STU0326"/>
        <s v="STU0327"/>
        <s v="STU0328"/>
        <s v="STU0329"/>
        <s v="STU0330"/>
        <s v="STU0331"/>
        <s v="STU0332"/>
        <s v="STU0333"/>
        <s v="STU0334"/>
        <s v="STU0335"/>
        <s v="STU0336"/>
        <s v="STU0337"/>
        <s v="STU0338"/>
        <s v="STU0339"/>
        <s v="STU0340"/>
        <s v="STU0341"/>
        <s v="STU0342"/>
        <s v="STU0343"/>
        <s v="STU0344"/>
        <s v="STU0345"/>
        <s v="STU0346"/>
        <s v="STU0347"/>
        <s v="STU0348"/>
        <s v="STU0349"/>
        <s v="STU0350"/>
        <s v="STU0351"/>
        <s v="STU0352"/>
        <s v="STU0353"/>
        <s v="STU0354"/>
        <s v="STU0355"/>
        <s v="STU0356"/>
        <s v="STU0357"/>
        <s v="STU0358"/>
        <s v="STU0359"/>
        <s v="STU0360"/>
        <s v="STU0361"/>
        <s v="STU0362"/>
        <s v="STU0363"/>
        <s v="STU0364"/>
        <s v="STU0365"/>
        <s v="STU0366"/>
        <s v="STU0367"/>
        <s v="STU0368"/>
        <s v="STU0369"/>
        <s v="STU0370"/>
        <s v="STU0371"/>
        <s v="STU0372"/>
        <s v="STU0373"/>
        <s v="STU0374"/>
        <s v="STU0375"/>
        <s v="STU0376"/>
        <s v="STU0377"/>
        <s v="STU0378"/>
        <s v="STU0379"/>
        <s v="STU0380"/>
        <s v="STU0381"/>
        <s v="STU0382"/>
        <s v="STU0383"/>
        <s v="STU0384"/>
        <s v="STU0385"/>
        <s v="STU0386"/>
        <s v="STU0387"/>
        <s v="STU0388"/>
        <s v="STU0389"/>
        <s v="STU0390"/>
        <s v="STU0391"/>
        <s v="STU0392"/>
        <s v="STU0393"/>
        <s v="STU0394"/>
        <s v="STU0395"/>
        <s v="STU0396"/>
        <s v="STU0397"/>
        <s v="STU0398"/>
        <s v="STU0399"/>
        <s v="STU0400"/>
        <s v="STU0401"/>
        <s v="STU0402"/>
        <s v="STU0403"/>
        <s v="STU0404"/>
        <s v="STU0405"/>
        <s v="STU0406"/>
        <s v="STU0407"/>
        <s v="STU0408"/>
        <s v="STU0409"/>
        <s v="STU0410"/>
        <s v="STU0411"/>
        <s v="STU0412"/>
        <s v="STU0413"/>
        <s v="STU0414"/>
        <s v="STU0415"/>
        <s v="STU0416"/>
        <s v="STU0417"/>
        <s v="STU0418"/>
        <s v="STU0419"/>
        <s v="STU0420"/>
        <s v="STU0421"/>
        <s v="STU0422"/>
        <s v="STU0423"/>
        <s v="STU0424"/>
        <s v="STU0425"/>
        <s v="STU0426"/>
        <s v="STU0427"/>
        <s v="STU0428"/>
        <s v="STU0429"/>
        <s v="STU0430"/>
        <s v="STU0431"/>
        <s v="STU0432"/>
        <s v="STU0433"/>
        <s v="STU0434"/>
        <s v="STU0435"/>
        <s v="STU0436"/>
        <s v="STU0437"/>
        <s v="STU0438"/>
        <s v="STU0439"/>
        <s v="STU0440"/>
        <s v="STU0441"/>
        <s v="STU0442"/>
        <s v="STU0443"/>
        <s v="STU0444"/>
        <s v="STU0445"/>
        <s v="STU0446"/>
        <s v="STU0447"/>
        <s v="STU0448"/>
        <s v="STU0449"/>
        <s v="STU0450"/>
        <s v="STU0451"/>
        <s v="STU0452"/>
        <s v="STU0453"/>
        <s v="STU0454"/>
        <s v="STU0455"/>
        <s v="STU0456"/>
        <s v="STU0457"/>
        <s v="STU0458"/>
        <s v="STU0459"/>
        <s v="STU0460"/>
        <s v="STU0461"/>
        <s v="STU0462"/>
        <s v="STU0463"/>
        <s v="STU0464"/>
        <s v="STU0465"/>
        <s v="STU0466"/>
        <s v="STU0467"/>
        <s v="STU0468"/>
        <s v="STU0469"/>
        <s v="STU0470"/>
        <s v="STU0471"/>
        <s v="STU0472"/>
        <s v="STU0473"/>
        <s v="STU0474"/>
        <s v="STU0475"/>
        <s v="STU0476"/>
        <s v="STU0477"/>
        <s v="STU0478"/>
        <s v="STU0479"/>
        <s v="STU0480"/>
      </sharedItems>
    </cacheField>
    <cacheField name="Student_Name" numFmtId="0">
      <sharedItems/>
    </cacheField>
    <cacheField name="Degree" numFmtId="0">
      <sharedItems count="4">
        <s v="MCA"/>
        <s v="BCA"/>
        <s v="B.Tech"/>
        <s v="B.E"/>
      </sharedItems>
    </cacheField>
    <cacheField name="Specialization" numFmtId="0">
      <sharedItems count="9">
        <s v="Computer Applications"/>
        <s v="Web Technology"/>
        <s v="Data Science"/>
        <s v="Computer Science"/>
        <s v="Information Science"/>
        <s v="Cloud Computing"/>
        <s v="Data Analytics"/>
        <s v="Electronics"/>
        <s v="AI &amp; ML"/>
      </sharedItems>
    </cacheField>
    <cacheField name="CGPA" numFmtId="0">
      <sharedItems containsSemiMixedTypes="0" containsString="0" containsNumber="1" minValue="5.8" maxValue="9.8000000000000007"/>
    </cacheField>
    <cacheField name="10th_Percentage" numFmtId="0">
      <sharedItems containsSemiMixedTypes="0" containsString="0" containsNumber="1" minValue="55.3" maxValue="97"/>
    </cacheField>
    <cacheField name="12th_Percentage" numFmtId="0">
      <sharedItems containsSemiMixedTypes="0" containsString="0" containsNumber="1" minValue="50" maxValue="95.9"/>
    </cacheField>
    <cacheField name="Active_Backlogs" numFmtId="0">
      <sharedItems containsSemiMixedTypes="0" containsString="0" containsNumber="1" containsInteger="1" minValue="0" maxValue="3"/>
    </cacheField>
    <cacheField name="Skills" numFmtId="0">
      <sharedItems/>
    </cacheField>
    <cacheField name="Graduation_Year" numFmtId="0">
      <sharedItems containsSemiMixedTypes="0" containsString="0" containsNumber="1" containsInteger="1" minValue="2025" maxValue="2027"/>
    </cacheField>
    <cacheField name="Placement_Status" numFmtId="0">
      <sharedItems count="3">
        <s v="Placed"/>
        <s v="In Process"/>
        <s v="Not Placed"/>
      </sharedItems>
    </cacheField>
    <cacheField name="Company_Placed" numFmtId="0">
      <sharedItems count="16">
        <s v="Accenture"/>
        <s v="SAP Labs"/>
        <s v=""/>
        <s v="Mindtree"/>
        <s v="TCS"/>
        <s v="IBM"/>
        <s v="Deloitte"/>
        <s v="Oracle"/>
        <s v="Zoho"/>
        <s v="Infosys"/>
        <s v="Capgemini"/>
        <s v="Bosch"/>
        <s v="Cognizant"/>
        <s v="Tech Mahindra"/>
        <s v="Wipro"/>
        <s v="LTIMindtree"/>
      </sharedItems>
    </cacheField>
    <cacheField name="Package_LPA" numFmtId="0">
      <sharedItems containsString="0" containsBlank="1" containsNumber="1" minValue="3.4" maxValue="13.9"/>
    </cacheField>
    <cacheField name="Overall_Rank" numFmtId="0">
      <sharedItems containsSemiMixedTypes="0" containsString="0" containsNumber="1" containsInteger="1" minValue="1" maxValue="480"/>
    </cacheField>
    <cacheField name="Placement_Chanc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80">
  <r>
    <x v="0"/>
    <s v="Aarav Mishra"/>
    <x v="0"/>
    <x v="0"/>
    <n v="8.77"/>
    <n v="65.3"/>
    <n v="56.4"/>
    <n v="0"/>
    <s v="Git, JavaScript"/>
    <n v="2025"/>
    <x v="0"/>
    <x v="0"/>
    <n v="8.6999999999999993"/>
    <n v="112"/>
    <s v="High"/>
  </r>
  <r>
    <x v="1"/>
    <s v="Akash Desai"/>
    <x v="1"/>
    <x v="1"/>
    <n v="8.4"/>
    <n v="77.900000000000006"/>
    <n v="60.1"/>
    <n v="0"/>
    <s v="Python, JavaScript"/>
    <n v="2026"/>
    <x v="0"/>
    <x v="1"/>
    <n v="6.8"/>
    <n v="156"/>
    <s v="High"/>
  </r>
  <r>
    <x v="2"/>
    <s v="Neha Singh"/>
    <x v="0"/>
    <x v="2"/>
    <n v="9.19"/>
    <n v="80.400000000000006"/>
    <n v="87.1"/>
    <n v="0"/>
    <s v="JavaScript, SQL"/>
    <n v="2026"/>
    <x v="1"/>
    <x v="2"/>
    <m/>
    <n v="65"/>
    <s v="Very High"/>
  </r>
  <r>
    <x v="3"/>
    <s v="Kavya Singh"/>
    <x v="1"/>
    <x v="1"/>
    <n v="6.08"/>
    <n v="82.8"/>
    <n v="85.6"/>
    <n v="3"/>
    <s v="SQL, JavaScript, Power BI"/>
    <n v="2026"/>
    <x v="2"/>
    <x v="2"/>
    <m/>
    <n v="445"/>
    <s v="Low"/>
  </r>
  <r>
    <x v="4"/>
    <s v="Rahul Gupta"/>
    <x v="1"/>
    <x v="1"/>
    <n v="6.87"/>
    <n v="94.3"/>
    <n v="79.8"/>
    <n v="0"/>
    <s v="Data Analysis, Java, Python"/>
    <n v="2026"/>
    <x v="0"/>
    <x v="3"/>
    <n v="10.1"/>
    <n v="351"/>
    <s v="Low"/>
  </r>
  <r>
    <x v="5"/>
    <s v="Nikhil Shetty"/>
    <x v="2"/>
    <x v="3"/>
    <n v="6.72"/>
    <n v="56.3"/>
    <n v="64.5"/>
    <n v="0"/>
    <s v="Git, HTML/CSS, Java"/>
    <n v="2026"/>
    <x v="1"/>
    <x v="2"/>
    <m/>
    <n v="371"/>
    <s v="Low"/>
  </r>
  <r>
    <x v="6"/>
    <s v="Bhavana Bhat"/>
    <x v="2"/>
    <x v="4"/>
    <n v="6.79"/>
    <n v="78.599999999999994"/>
    <n v="62.1"/>
    <n v="0"/>
    <s v="HTML/CSS, Java, Python, Power BI, Data Analysis"/>
    <n v="2025"/>
    <x v="0"/>
    <x v="4"/>
    <n v="4.9000000000000004"/>
    <n v="364"/>
    <s v="Low"/>
  </r>
  <r>
    <x v="7"/>
    <s v="Ananya Hegde"/>
    <x v="0"/>
    <x v="2"/>
    <n v="7.33"/>
    <n v="96.8"/>
    <n v="74.3"/>
    <n v="2"/>
    <s v="SQL, Data Analysis"/>
    <n v="2026"/>
    <x v="2"/>
    <x v="2"/>
    <m/>
    <n v="297"/>
    <s v="Medium"/>
  </r>
  <r>
    <x v="8"/>
    <s v="Arjun Singh"/>
    <x v="3"/>
    <x v="3"/>
    <n v="7.61"/>
    <n v="95.1"/>
    <n v="90.3"/>
    <n v="0"/>
    <s v="Data Analysis, SQL, Power BI"/>
    <n v="2026"/>
    <x v="2"/>
    <x v="2"/>
    <m/>
    <n v="257"/>
    <s v="Medium"/>
  </r>
  <r>
    <x v="9"/>
    <s v="Akash Gowda"/>
    <x v="1"/>
    <x v="1"/>
    <n v="9.61"/>
    <n v="93.7"/>
    <n v="92.3"/>
    <n v="0"/>
    <s v="Excel, SQL, HTML/CSS, JavaScript, Python"/>
    <n v="2026"/>
    <x v="0"/>
    <x v="5"/>
    <n v="13.4"/>
    <n v="19"/>
    <s v="Very High"/>
  </r>
  <r>
    <x v="10"/>
    <s v="Ishita Desai"/>
    <x v="0"/>
    <x v="5"/>
    <n v="8.86"/>
    <n v="60.4"/>
    <n v="71.900000000000006"/>
    <n v="0"/>
    <s v="Data Analysis, JavaScript, Java, Power BI"/>
    <n v="2026"/>
    <x v="1"/>
    <x v="2"/>
    <m/>
    <n v="93"/>
    <s v="High"/>
  </r>
  <r>
    <x v="11"/>
    <s v="Aditi Gupta"/>
    <x v="2"/>
    <x v="2"/>
    <n v="9.4"/>
    <n v="74"/>
    <n v="61.4"/>
    <n v="0"/>
    <s v="Git, Data Analysis"/>
    <n v="2026"/>
    <x v="0"/>
    <x v="4"/>
    <n v="10.8"/>
    <n v="39"/>
    <s v="Very High"/>
  </r>
  <r>
    <x v="12"/>
    <s v="Ananya Bhat"/>
    <x v="0"/>
    <x v="0"/>
    <n v="9.24"/>
    <n v="58"/>
    <n v="60.9"/>
    <n v="0"/>
    <s v="Data Analysis, Python, React"/>
    <n v="2026"/>
    <x v="0"/>
    <x v="6"/>
    <n v="5.3"/>
    <n v="54"/>
    <s v="Very High"/>
  </r>
  <r>
    <x v="13"/>
    <s v="Divya Nair"/>
    <x v="2"/>
    <x v="2"/>
    <n v="7.44"/>
    <n v="91.3"/>
    <n v="52.5"/>
    <n v="0"/>
    <s v="Excel, JavaScript"/>
    <n v="2026"/>
    <x v="2"/>
    <x v="2"/>
    <m/>
    <n v="285"/>
    <s v="Medium"/>
  </r>
  <r>
    <x v="14"/>
    <s v="Vikas Sharma"/>
    <x v="1"/>
    <x v="1"/>
    <n v="7.59"/>
    <n v="72.7"/>
    <n v="62.8"/>
    <n v="0"/>
    <s v="React, Data Analysis"/>
    <n v="2025"/>
    <x v="1"/>
    <x v="2"/>
    <m/>
    <n v="262"/>
    <s v="Medium"/>
  </r>
  <r>
    <x v="15"/>
    <s v="Ishita Bhat"/>
    <x v="0"/>
    <x v="0"/>
    <n v="6.47"/>
    <n v="75.400000000000006"/>
    <n v="59.8"/>
    <n v="0"/>
    <s v="Python, JavaScript"/>
    <n v="2025"/>
    <x v="2"/>
    <x v="2"/>
    <m/>
    <n v="410"/>
    <s v="Low"/>
  </r>
  <r>
    <x v="16"/>
    <s v="Bhavana Patil"/>
    <x v="3"/>
    <x v="3"/>
    <n v="6.56"/>
    <n v="64.099999999999994"/>
    <n v="52.7"/>
    <n v="0"/>
    <s v="HTML/CSS, Excel"/>
    <n v="2025"/>
    <x v="1"/>
    <x v="2"/>
    <m/>
    <n v="394"/>
    <s v="Low"/>
  </r>
  <r>
    <x v="17"/>
    <s v="Karan Joshi"/>
    <x v="0"/>
    <x v="0"/>
    <n v="6.07"/>
    <n v="57.9"/>
    <n v="89.6"/>
    <n v="0"/>
    <s v="Git, Excel, SQL"/>
    <n v="2026"/>
    <x v="1"/>
    <x v="2"/>
    <m/>
    <n v="447"/>
    <s v="Low"/>
  </r>
  <r>
    <x v="18"/>
    <s v="Akash Mishra"/>
    <x v="1"/>
    <x v="1"/>
    <n v="8.66"/>
    <n v="65"/>
    <n v="68.2"/>
    <n v="0"/>
    <s v="React, HTML/CSS, SQL, Excel"/>
    <n v="2026"/>
    <x v="2"/>
    <x v="2"/>
    <m/>
    <n v="128"/>
    <s v="High"/>
  </r>
  <r>
    <x v="19"/>
    <s v="Pooja Sharma"/>
    <x v="1"/>
    <x v="1"/>
    <n v="6.86"/>
    <n v="94.2"/>
    <n v="90.5"/>
    <n v="1"/>
    <s v="Power BI, Python, React, JavaScript"/>
    <n v="2026"/>
    <x v="1"/>
    <x v="2"/>
    <m/>
    <n v="353"/>
    <s v="Low"/>
  </r>
  <r>
    <x v="20"/>
    <s v="Pooja Gowda"/>
    <x v="2"/>
    <x v="3"/>
    <n v="9.56"/>
    <n v="60.6"/>
    <n v="55.3"/>
    <n v="0"/>
    <s v="Power BI, Git, Java"/>
    <n v="2026"/>
    <x v="0"/>
    <x v="7"/>
    <n v="12.4"/>
    <n v="26"/>
    <s v="Very High"/>
  </r>
  <r>
    <x v="21"/>
    <s v="Ananya Reddy"/>
    <x v="2"/>
    <x v="3"/>
    <n v="6.17"/>
    <n v="72.8"/>
    <n v="62.7"/>
    <n v="0"/>
    <s v="Power BI, Python, React"/>
    <n v="2026"/>
    <x v="2"/>
    <x v="2"/>
    <m/>
    <n v="435"/>
    <s v="Low"/>
  </r>
  <r>
    <x v="22"/>
    <s v="Neha Singh"/>
    <x v="1"/>
    <x v="1"/>
    <n v="5.94"/>
    <n v="70.5"/>
    <n v="75.400000000000006"/>
    <n v="0"/>
    <s v="Power BI, HTML/CSS"/>
    <n v="2027"/>
    <x v="2"/>
    <x v="2"/>
    <m/>
    <n v="467"/>
    <s v="Low"/>
  </r>
  <r>
    <x v="23"/>
    <s v="Aarav Kulkarni"/>
    <x v="1"/>
    <x v="1"/>
    <n v="6.8"/>
    <n v="59.3"/>
    <n v="85.9"/>
    <n v="1"/>
    <s v="Git; Python; Java; JavaScript; SQL"/>
    <n v="2027"/>
    <x v="2"/>
    <x v="2"/>
    <m/>
    <n v="362"/>
    <s v="Low"/>
  </r>
  <r>
    <x v="24"/>
    <s v="Kavya Hegde"/>
    <x v="2"/>
    <x v="2"/>
    <n v="9.01"/>
    <n v="91.3"/>
    <n v="87.3"/>
    <n v="0"/>
    <s v="JavaScript, Excel"/>
    <n v="2027"/>
    <x v="0"/>
    <x v="8"/>
    <n v="13.1"/>
    <n v="85"/>
    <s v="Very High"/>
  </r>
  <r>
    <x v="25"/>
    <s v="Ananya Joshi"/>
    <x v="1"/>
    <x v="0"/>
    <n v="5.89"/>
    <n v="63.1"/>
    <n v="65.099999999999994"/>
    <n v="1"/>
    <s v="HTML/CSS, Data Analysis, JavaScript, Git"/>
    <n v="2027"/>
    <x v="2"/>
    <x v="2"/>
    <m/>
    <n v="471"/>
    <s v="Low"/>
  </r>
  <r>
    <x v="26"/>
    <s v="Aarav Verma"/>
    <x v="1"/>
    <x v="1"/>
    <n v="9.65"/>
    <n v="66.099999999999994"/>
    <n v="55"/>
    <n v="0"/>
    <s v="JavaScript, Data Analysis, SQL, Java"/>
    <n v="2027"/>
    <x v="0"/>
    <x v="9"/>
    <n v="10.9"/>
    <n v="14"/>
    <s v="Very High"/>
  </r>
  <r>
    <x v="27"/>
    <s v="Rahul Shetty"/>
    <x v="1"/>
    <x v="6"/>
    <n v="7.53"/>
    <n v="94.9"/>
    <n v="92.4"/>
    <n v="0"/>
    <s v="Power BI, Data Analysis"/>
    <n v="2026"/>
    <x v="0"/>
    <x v="6"/>
    <n v="10.7"/>
    <n v="272"/>
    <s v="Medium"/>
  </r>
  <r>
    <x v="28"/>
    <s v="Karan Naik"/>
    <x v="1"/>
    <x v="6"/>
    <n v="8.4600000000000009"/>
    <n v="70.900000000000006"/>
    <n v="84.4"/>
    <n v="0"/>
    <s v="JavaScript, Data Analysis, Excel, Python"/>
    <n v="2026"/>
    <x v="0"/>
    <x v="5"/>
    <n v="9.8000000000000007"/>
    <n v="148"/>
    <s v="High"/>
  </r>
  <r>
    <x v="29"/>
    <s v="Shreya Hegde"/>
    <x v="3"/>
    <x v="4"/>
    <n v="8.5"/>
    <n v="76.5"/>
    <n v="86.5"/>
    <n v="2"/>
    <s v="SQL, Power BI, HTML/CSS"/>
    <n v="2025"/>
    <x v="2"/>
    <x v="2"/>
    <m/>
    <n v="147"/>
    <s v="High"/>
  </r>
  <r>
    <x v="30"/>
    <s v="Sneha Desai"/>
    <x v="1"/>
    <x v="0"/>
    <n v="6.39"/>
    <n v="56.9"/>
    <n v="95.3"/>
    <n v="0"/>
    <s v="React, JavaScript"/>
    <n v="2027"/>
    <x v="1"/>
    <x v="2"/>
    <m/>
    <n v="417"/>
    <s v="Low"/>
  </r>
  <r>
    <x v="31"/>
    <s v="Nikhil Patil"/>
    <x v="3"/>
    <x v="4"/>
    <n v="6.78"/>
    <n v="82.6"/>
    <n v="50.3"/>
    <n v="0"/>
    <s v="JavaScript, Java"/>
    <n v="2026"/>
    <x v="1"/>
    <x v="2"/>
    <m/>
    <n v="366"/>
    <s v="Low"/>
  </r>
  <r>
    <x v="32"/>
    <s v="Suraj Gowda"/>
    <x v="1"/>
    <x v="0"/>
    <n v="7.63"/>
    <n v="88.7"/>
    <n v="80.7"/>
    <n v="3"/>
    <s v="React, Data Analysis, JavaScript, Git"/>
    <n v="2027"/>
    <x v="2"/>
    <x v="2"/>
    <m/>
    <n v="254"/>
    <s v="Medium"/>
  </r>
  <r>
    <x v="33"/>
    <s v="Akash Shetty"/>
    <x v="3"/>
    <x v="4"/>
    <n v="8.81"/>
    <n v="90.3"/>
    <n v="62.8"/>
    <n v="0"/>
    <s v="Java, Power BI, React, Excel, HTML/CSS"/>
    <n v="2026"/>
    <x v="0"/>
    <x v="10"/>
    <n v="12.8"/>
    <n v="105"/>
    <s v="High"/>
  </r>
  <r>
    <x v="34"/>
    <s v="Sneha Sharma"/>
    <x v="1"/>
    <x v="0"/>
    <n v="7.33"/>
    <n v="61.4"/>
    <n v="59.8"/>
    <n v="0"/>
    <s v="Data Analysis, React, JavaScript, Excel"/>
    <n v="2026"/>
    <x v="0"/>
    <x v="3"/>
    <n v="11.5"/>
    <n v="297"/>
    <s v="Medium"/>
  </r>
  <r>
    <x v="35"/>
    <s v="Karan Desai"/>
    <x v="3"/>
    <x v="4"/>
    <n v="5.82"/>
    <n v="69.8"/>
    <n v="84.7"/>
    <n v="1"/>
    <s v="Data Analysis, Git, Java, React, SQL"/>
    <n v="2026"/>
    <x v="2"/>
    <x v="2"/>
    <m/>
    <n v="475"/>
    <s v="Low"/>
  </r>
  <r>
    <x v="36"/>
    <s v="Harsh Desai"/>
    <x v="1"/>
    <x v="6"/>
    <n v="9.48"/>
    <n v="96.2"/>
    <n v="74.599999999999994"/>
    <n v="1"/>
    <s v="SQL, JavaScript"/>
    <n v="2025"/>
    <x v="2"/>
    <x v="2"/>
    <m/>
    <n v="33"/>
    <s v="Very High"/>
  </r>
  <r>
    <x v="37"/>
    <s v="Divya Reddy"/>
    <x v="2"/>
    <x v="4"/>
    <n v="7.62"/>
    <n v="69.2"/>
    <n v="90.5"/>
    <n v="0"/>
    <s v="Power BI, SQL, React, Excel, HTML/CSS"/>
    <n v="2026"/>
    <x v="2"/>
    <x v="2"/>
    <m/>
    <n v="255"/>
    <s v="Medium"/>
  </r>
  <r>
    <x v="38"/>
    <s v="Rohan Rao"/>
    <x v="0"/>
    <x v="0"/>
    <n v="9.6"/>
    <n v="63.4"/>
    <n v="50.9"/>
    <n v="0"/>
    <s v="React, SQL, Java"/>
    <n v="2026"/>
    <x v="0"/>
    <x v="10"/>
    <n v="5"/>
    <n v="21"/>
    <s v="Very High"/>
  </r>
  <r>
    <x v="39"/>
    <s v="Yash Jain"/>
    <x v="1"/>
    <x v="6"/>
    <n v="6.23"/>
    <n v="56.1"/>
    <n v="64.400000000000006"/>
    <n v="0"/>
    <s v="JavaScript; Java; SQL; Power BI; HTML/CSS"/>
    <n v="2026"/>
    <x v="0"/>
    <x v="11"/>
    <n v="11.5"/>
    <n v="431"/>
    <s v="Low"/>
  </r>
  <r>
    <x v="40"/>
    <s v="Sneha Shetty"/>
    <x v="0"/>
    <x v="5"/>
    <n v="8.93"/>
    <n v="69.599999999999994"/>
    <n v="69.7"/>
    <n v="0"/>
    <s v="Excel, JavaScript, React, Git"/>
    <n v="2026"/>
    <x v="0"/>
    <x v="3"/>
    <n v="12.2"/>
    <n v="90"/>
    <s v="High"/>
  </r>
  <r>
    <x v="41"/>
    <s v="Tanvi Naik"/>
    <x v="3"/>
    <x v="3"/>
    <n v="8.74"/>
    <n v="95.5"/>
    <n v="62.4"/>
    <n v="1"/>
    <s v="React, JavaScript, Power BI, Python, SQL"/>
    <n v="2026"/>
    <x v="0"/>
    <x v="3"/>
    <n v="8.1"/>
    <n v="117"/>
    <s v="High"/>
  </r>
  <r>
    <x v="42"/>
    <s v="Divya Bhat"/>
    <x v="3"/>
    <x v="4"/>
    <n v="5.91"/>
    <n v="90.7"/>
    <n v="58.4"/>
    <n v="0"/>
    <s v="HTML/CSS, Power BI, Data Analysis, React"/>
    <n v="2025"/>
    <x v="2"/>
    <x v="2"/>
    <m/>
    <n v="469"/>
    <s v="Low"/>
  </r>
  <r>
    <x v="43"/>
    <s v="Shreya Pillai"/>
    <x v="3"/>
    <x v="7"/>
    <n v="8.83"/>
    <n v="84"/>
    <n v="79.7"/>
    <n v="0"/>
    <s v="SQL, Power BI"/>
    <n v="2026"/>
    <x v="2"/>
    <x v="2"/>
    <m/>
    <n v="99"/>
    <s v="High"/>
  </r>
  <r>
    <x v="44"/>
    <s v="Ananya Mishra"/>
    <x v="2"/>
    <x v="2"/>
    <n v="8.01"/>
    <n v="69.400000000000006"/>
    <n v="95.8"/>
    <n v="0"/>
    <s v="React, Power BI, Data Analysis, Python"/>
    <n v="2026"/>
    <x v="2"/>
    <x v="2"/>
    <m/>
    <n v="204"/>
    <s v="High"/>
  </r>
  <r>
    <x v="45"/>
    <s v="Rahul Shetty"/>
    <x v="1"/>
    <x v="0"/>
    <n v="6.67"/>
    <n v="75.3"/>
    <n v="83.3"/>
    <n v="2"/>
    <s v="SQL, Java, Power BI, Git"/>
    <n v="2026"/>
    <x v="1"/>
    <x v="2"/>
    <m/>
    <n v="378"/>
    <s v="Low"/>
  </r>
  <r>
    <x v="46"/>
    <s v="Yash Gowda"/>
    <x v="2"/>
    <x v="3"/>
    <n v="9.6999999999999993"/>
    <n v="78.2"/>
    <n v="82.1"/>
    <n v="0"/>
    <s v="SQL, Excel, Power BI, Java, JavaScript"/>
    <n v="2026"/>
    <x v="0"/>
    <x v="9"/>
    <n v="5.9"/>
    <n v="9"/>
    <s v="Very High"/>
  </r>
  <r>
    <x v="47"/>
    <s v="Rohan Jain"/>
    <x v="0"/>
    <x v="0"/>
    <n v="7.4"/>
    <n v="58.1"/>
    <n v="79"/>
    <n v="0"/>
    <s v="Git, Power BI, SQL"/>
    <n v="2027"/>
    <x v="0"/>
    <x v="1"/>
    <n v="7.7"/>
    <n v="290"/>
    <s v="Medium"/>
  </r>
  <r>
    <x v="48"/>
    <s v="Bhavana Mishra"/>
    <x v="1"/>
    <x v="1"/>
    <n v="7.76"/>
    <n v="93.2"/>
    <n v="63.7"/>
    <n v="0"/>
    <s v="Power BI, Excel, SQL, JavaScript, React"/>
    <n v="2026"/>
    <x v="0"/>
    <x v="4"/>
    <n v="4.9000000000000004"/>
    <n v="235"/>
    <s v="Medium"/>
  </r>
  <r>
    <x v="49"/>
    <s v="Sanjay Pillai"/>
    <x v="0"/>
    <x v="0"/>
    <n v="5.81"/>
    <n v="73.900000000000006"/>
    <n v="77.3"/>
    <n v="0"/>
    <s v="Power BI, Git, React"/>
    <n v="2025"/>
    <x v="0"/>
    <x v="12"/>
    <n v="11.7"/>
    <n v="478"/>
    <s v="Low"/>
  </r>
  <r>
    <x v="50"/>
    <s v="Pranav Hegde"/>
    <x v="1"/>
    <x v="6"/>
    <n v="6.26"/>
    <n v="64.400000000000006"/>
    <n v="56.9"/>
    <n v="0"/>
    <s v="SQL, Excel, Python"/>
    <n v="2026"/>
    <x v="1"/>
    <x v="2"/>
    <m/>
    <n v="426"/>
    <s v="Low"/>
  </r>
  <r>
    <x v="51"/>
    <s v="Shreya Pillai"/>
    <x v="3"/>
    <x v="3"/>
    <n v="7.67"/>
    <n v="67.8"/>
    <n v="68.5"/>
    <n v="0"/>
    <s v="React, SQL, Excel, Java, HTML/CSS"/>
    <n v="2026"/>
    <x v="0"/>
    <x v="4"/>
    <n v="5.7"/>
    <n v="248"/>
    <s v="Medium"/>
  </r>
  <r>
    <x v="52"/>
    <s v="Shreya Rao"/>
    <x v="0"/>
    <x v="5"/>
    <n v="9.09"/>
    <n v="79.2"/>
    <n v="85.1"/>
    <n v="0"/>
    <s v="Power BI, Python, JavaScript, HTML/CSS, Java"/>
    <n v="2027"/>
    <x v="0"/>
    <x v="6"/>
    <n v="6.8"/>
    <n v="75"/>
    <s v="Very High"/>
  </r>
  <r>
    <x v="53"/>
    <s v="Pooja Sharma"/>
    <x v="1"/>
    <x v="6"/>
    <n v="7.45"/>
    <n v="75.8"/>
    <n v="80.5"/>
    <n v="0"/>
    <s v="React, SQL"/>
    <n v="2026"/>
    <x v="0"/>
    <x v="1"/>
    <n v="7.6"/>
    <n v="280"/>
    <s v="Medium"/>
  </r>
  <r>
    <x v="54"/>
    <s v="Nisha Rao"/>
    <x v="3"/>
    <x v="4"/>
    <n v="6.02"/>
    <n v="76.8"/>
    <n v="78.599999999999994"/>
    <n v="0"/>
    <s v="Excel, Java, Power BI, React, SQL"/>
    <n v="2027"/>
    <x v="1"/>
    <x v="2"/>
    <m/>
    <n v="453"/>
    <s v="Low"/>
  </r>
  <r>
    <x v="55"/>
    <s v="Pooja Joshi"/>
    <x v="0"/>
    <x v="5"/>
    <n v="8.24"/>
    <n v="65.099999999999994"/>
    <n v="57.3"/>
    <n v="0"/>
    <s v="SQL; Java; Git; Data Analysis; Excel"/>
    <n v="2026"/>
    <x v="0"/>
    <x v="3"/>
    <n v="10.9"/>
    <n v="177"/>
    <s v="High"/>
  </r>
  <r>
    <x v="56"/>
    <s v="Vikas Sharma"/>
    <x v="3"/>
    <x v="4"/>
    <n v="9.7200000000000006"/>
    <n v="65.2"/>
    <n v="75.400000000000006"/>
    <n v="0"/>
    <s v="SQL, Power BI, JavaScript"/>
    <n v="2026"/>
    <x v="2"/>
    <x v="2"/>
    <m/>
    <n v="5"/>
    <s v="Very High"/>
  </r>
  <r>
    <x v="57"/>
    <s v="Deepak Gupta"/>
    <x v="2"/>
    <x v="8"/>
    <n v="9.15"/>
    <n v="79.400000000000006"/>
    <n v="80.400000000000006"/>
    <n v="1"/>
    <s v="Data Analysis, React, HTML/CSS, Python, Power BI"/>
    <n v="2026"/>
    <x v="0"/>
    <x v="3"/>
    <n v="6.7"/>
    <n v="68"/>
    <s v="Very High"/>
  </r>
  <r>
    <x v="58"/>
    <s v="Yash Naik"/>
    <x v="3"/>
    <x v="3"/>
    <n v="9.2200000000000006"/>
    <n v="72.3"/>
    <n v="64.599999999999994"/>
    <n v="0"/>
    <s v="JavaScript, Python, React, Excel, SQL"/>
    <n v="2026"/>
    <x v="0"/>
    <x v="8"/>
    <n v="4.3"/>
    <n v="59"/>
    <s v="Very High"/>
  </r>
  <r>
    <x v="59"/>
    <s v="Akash Kumar"/>
    <x v="0"/>
    <x v="5"/>
    <n v="9.44"/>
    <n v="55.6"/>
    <n v="56.6"/>
    <n v="1"/>
    <s v="SQL, React, Power BI"/>
    <n v="2026"/>
    <x v="1"/>
    <x v="2"/>
    <m/>
    <n v="35"/>
    <s v="Very High"/>
  </r>
  <r>
    <x v="60"/>
    <s v="Ananya Rao"/>
    <x v="3"/>
    <x v="4"/>
    <n v="8.31"/>
    <n v="92.3"/>
    <n v="72.400000000000006"/>
    <n v="0"/>
    <s v="Java, Power BI"/>
    <n v="2027"/>
    <x v="2"/>
    <x v="2"/>
    <m/>
    <n v="168"/>
    <s v="High"/>
  </r>
  <r>
    <x v="61"/>
    <s v="Varun Kulkarni"/>
    <x v="3"/>
    <x v="3"/>
    <n v="8.58"/>
    <n v="92.9"/>
    <n v="52.1"/>
    <n v="1"/>
    <s v="HTML/CSS, Git, JavaScript, SQL"/>
    <n v="2026"/>
    <x v="1"/>
    <x v="2"/>
    <m/>
    <n v="138"/>
    <s v="High"/>
  </r>
  <r>
    <x v="62"/>
    <s v="Neha Hegde"/>
    <x v="1"/>
    <x v="0"/>
    <n v="6.12"/>
    <n v="91.6"/>
    <n v="78.5"/>
    <n v="0"/>
    <s v="Java, React, Power BI"/>
    <n v="2026"/>
    <x v="2"/>
    <x v="2"/>
    <m/>
    <n v="439"/>
    <s v="Low"/>
  </r>
  <r>
    <x v="63"/>
    <s v="Riya Hegde"/>
    <x v="1"/>
    <x v="0"/>
    <n v="7.57"/>
    <n v="69.5"/>
    <n v="77"/>
    <n v="0"/>
    <s v="Power BI, React, Git, SQL, Java"/>
    <n v="2027"/>
    <x v="0"/>
    <x v="6"/>
    <n v="9.4"/>
    <n v="265"/>
    <s v="Medium"/>
  </r>
  <r>
    <x v="64"/>
    <s v="Rohan Singh"/>
    <x v="2"/>
    <x v="3"/>
    <n v="9.7100000000000009"/>
    <n v="82.6"/>
    <n v="62.6"/>
    <n v="0"/>
    <s v="Git, React"/>
    <n v="2026"/>
    <x v="2"/>
    <x v="2"/>
    <m/>
    <n v="7"/>
    <s v="Very High"/>
  </r>
  <r>
    <x v="65"/>
    <s v="Akash Hegde"/>
    <x v="1"/>
    <x v="1"/>
    <n v="6.56"/>
    <n v="65.5"/>
    <n v="84.8"/>
    <n v="0"/>
    <s v="SQL, Excel, Power BI"/>
    <n v="2026"/>
    <x v="0"/>
    <x v="10"/>
    <n v="11.1"/>
    <n v="394"/>
    <s v="Low"/>
  </r>
  <r>
    <x v="66"/>
    <s v="Nikhil Reddy"/>
    <x v="2"/>
    <x v="2"/>
    <n v="6.5"/>
    <n v="60.6"/>
    <n v="74.8"/>
    <n v="2"/>
    <s v="Python, Power BI, React, JavaScript"/>
    <n v="2026"/>
    <x v="2"/>
    <x v="2"/>
    <m/>
    <n v="403"/>
    <s v="Low"/>
  </r>
  <r>
    <x v="67"/>
    <s v="Suraj Joshi"/>
    <x v="1"/>
    <x v="0"/>
    <n v="9.24"/>
    <n v="85.4"/>
    <n v="95.1"/>
    <n v="2"/>
    <s v="SQL, JavaScript, Excel, Python"/>
    <n v="2026"/>
    <x v="1"/>
    <x v="2"/>
    <m/>
    <n v="54"/>
    <s v="Very High"/>
  </r>
  <r>
    <x v="68"/>
    <s v="Sanjay Bhat"/>
    <x v="3"/>
    <x v="7"/>
    <n v="9.56"/>
    <n v="59.6"/>
    <n v="60.8"/>
    <n v="0"/>
    <s v="Git, Java, SQL, HTML/CSS"/>
    <n v="2026"/>
    <x v="2"/>
    <x v="2"/>
    <m/>
    <n v="26"/>
    <s v="Very High"/>
  </r>
  <r>
    <x v="69"/>
    <s v="Sneha Mishra"/>
    <x v="0"/>
    <x v="0"/>
    <n v="5.98"/>
    <n v="56.6"/>
    <n v="95.8"/>
    <n v="0"/>
    <s v="Data Analysis, Python, JavaScript"/>
    <n v="2026"/>
    <x v="1"/>
    <x v="2"/>
    <m/>
    <n v="461"/>
    <s v="Low"/>
  </r>
  <r>
    <x v="70"/>
    <s v="Ananya Singh"/>
    <x v="3"/>
    <x v="7"/>
    <n v="8.77"/>
    <n v="61.5"/>
    <n v="69.099999999999994"/>
    <n v="0"/>
    <s v="Git, JavaScript, Power BI, Excel, HTML/CSS"/>
    <n v="2026"/>
    <x v="0"/>
    <x v="0"/>
    <n v="12.4"/>
    <n v="112"/>
    <s v="High"/>
  </r>
  <r>
    <x v="71"/>
    <s v="Vikas Mishra"/>
    <x v="2"/>
    <x v="3"/>
    <n v="7.39"/>
    <n v="63"/>
    <n v="55.6"/>
    <n v="1"/>
    <s v="SQL, Java, Excel, React, Python"/>
    <n v="2026"/>
    <x v="0"/>
    <x v="5"/>
    <n v="5.4"/>
    <n v="291"/>
    <s v="Medium"/>
  </r>
  <r>
    <x v="72"/>
    <s v="Ananya Sharma"/>
    <x v="1"/>
    <x v="1"/>
    <n v="6.66"/>
    <n v="91.5"/>
    <n v="65.099999999999994"/>
    <n v="0"/>
    <s v="Power BI, Python"/>
    <n v="2027"/>
    <x v="2"/>
    <x v="2"/>
    <m/>
    <n v="380"/>
    <s v="Low"/>
  </r>
  <r>
    <x v="73"/>
    <s v="Pooja Pillai"/>
    <x v="1"/>
    <x v="0"/>
    <n v="7.23"/>
    <n v="88.1"/>
    <n v="77.099999999999994"/>
    <n v="0"/>
    <s v="Excel, Python, JavaScript, Power BI"/>
    <n v="2025"/>
    <x v="0"/>
    <x v="13"/>
    <n v="11.6"/>
    <n v="309"/>
    <s v="Medium"/>
  </r>
  <r>
    <x v="74"/>
    <s v="Nisha Naik"/>
    <x v="0"/>
    <x v="2"/>
    <n v="7.82"/>
    <n v="94.7"/>
    <n v="52"/>
    <n v="1"/>
    <s v="React, Excel, Data Analysis, Java"/>
    <n v="2026"/>
    <x v="2"/>
    <x v="2"/>
    <m/>
    <n v="225"/>
    <s v="Medium"/>
  </r>
  <r>
    <x v="75"/>
    <s v="Ananya Mishra"/>
    <x v="0"/>
    <x v="0"/>
    <n v="7.09"/>
    <n v="61.2"/>
    <n v="55.8"/>
    <n v="0"/>
    <s v="JavaScript, Data Analysis, Power BI, Java"/>
    <n v="2026"/>
    <x v="1"/>
    <x v="2"/>
    <m/>
    <n v="324"/>
    <s v="Medium"/>
  </r>
  <r>
    <x v="76"/>
    <s v="Pranav Gowda"/>
    <x v="1"/>
    <x v="6"/>
    <n v="7.61"/>
    <n v="64.599999999999994"/>
    <n v="65.599999999999994"/>
    <n v="0"/>
    <s v="SQL, HTML/CSS, JavaScript, Python, Data Analysis"/>
    <n v="2026"/>
    <x v="1"/>
    <x v="2"/>
    <m/>
    <n v="257"/>
    <s v="Medium"/>
  </r>
  <r>
    <x v="77"/>
    <s v="Tanvi Bhat"/>
    <x v="0"/>
    <x v="0"/>
    <n v="9.1300000000000008"/>
    <n v="58.9"/>
    <n v="54.4"/>
    <n v="0"/>
    <s v="Data Analysis, Excel, HTML/CSS"/>
    <n v="2026"/>
    <x v="0"/>
    <x v="8"/>
    <n v="10.4"/>
    <n v="71"/>
    <s v="Very High"/>
  </r>
  <r>
    <x v="78"/>
    <s v="Divya Bhat"/>
    <x v="0"/>
    <x v="2"/>
    <n v="8.1999999999999993"/>
    <n v="69.8"/>
    <n v="76.599999999999994"/>
    <n v="0"/>
    <s v="Java, SQL, HTML/CSS, JavaScript, Power BI"/>
    <n v="2026"/>
    <x v="1"/>
    <x v="2"/>
    <m/>
    <n v="181"/>
    <s v="High"/>
  </r>
  <r>
    <x v="79"/>
    <s v="Suraj Sharma"/>
    <x v="0"/>
    <x v="5"/>
    <n v="9.52"/>
    <n v="89.8"/>
    <n v="62.3"/>
    <n v="0"/>
    <s v="HTML/CSS, Git, Excel, SQL"/>
    <n v="2027"/>
    <x v="0"/>
    <x v="6"/>
    <n v="4"/>
    <n v="31"/>
    <s v="Very High"/>
  </r>
  <r>
    <x v="80"/>
    <s v="Akash Joshi"/>
    <x v="0"/>
    <x v="5"/>
    <n v="7.92"/>
    <n v="70.8"/>
    <n v="70.900000000000006"/>
    <n v="0"/>
    <s v="HTML/CSS, SQL, Excel, Data Analysis"/>
    <n v="2026"/>
    <x v="1"/>
    <x v="2"/>
    <m/>
    <n v="212"/>
    <s v="Medium"/>
  </r>
  <r>
    <x v="81"/>
    <s v="Nisha Verma"/>
    <x v="3"/>
    <x v="7"/>
    <n v="7.5"/>
    <n v="80.5"/>
    <n v="69.099999999999994"/>
    <n v="0"/>
    <s v="HTML/CSS, JavaScript"/>
    <n v="2025"/>
    <x v="1"/>
    <x v="2"/>
    <m/>
    <n v="276"/>
    <s v="Medium"/>
  </r>
  <r>
    <x v="82"/>
    <s v="Arjun Desai"/>
    <x v="2"/>
    <x v="3"/>
    <n v="6.68"/>
    <n v="96.3"/>
    <n v="52.5"/>
    <n v="0"/>
    <s v="Python, Power BI, Data Analysis"/>
    <n v="2026"/>
    <x v="0"/>
    <x v="11"/>
    <n v="7.9"/>
    <n v="376"/>
    <s v="Low"/>
  </r>
  <r>
    <x v="83"/>
    <s v="Riya Desai"/>
    <x v="1"/>
    <x v="1"/>
    <n v="8.0299999999999994"/>
    <n v="83.1"/>
    <n v="66.3"/>
    <n v="0"/>
    <s v="JavaScript, Excel"/>
    <n v="2026"/>
    <x v="0"/>
    <x v="10"/>
    <n v="9.4"/>
    <n v="203"/>
    <s v="High"/>
  </r>
  <r>
    <x v="84"/>
    <s v="Akash Desai"/>
    <x v="3"/>
    <x v="4"/>
    <n v="6.26"/>
    <n v="55.9"/>
    <n v="64.900000000000006"/>
    <n v="1"/>
    <s v="HTML/CSS, SQL, JavaScript, React, Excel"/>
    <n v="2026"/>
    <x v="1"/>
    <x v="2"/>
    <m/>
    <n v="426"/>
    <s v="Low"/>
  </r>
  <r>
    <x v="85"/>
    <s v="Arjun Reddy"/>
    <x v="2"/>
    <x v="8"/>
    <n v="6.69"/>
    <n v="87.7"/>
    <n v="53.5"/>
    <n v="0"/>
    <s v="HTML/CSS, Git, Python"/>
    <n v="2026"/>
    <x v="0"/>
    <x v="0"/>
    <n v="5.0999999999999996"/>
    <n v="375"/>
    <s v="Low"/>
  </r>
  <r>
    <x v="86"/>
    <s v="Riya Patil"/>
    <x v="1"/>
    <x v="1"/>
    <n v="7.78"/>
    <n v="86.7"/>
    <n v="85"/>
    <n v="0"/>
    <s v="HTML/CSS, Python, React, Excel"/>
    <n v="2026"/>
    <x v="2"/>
    <x v="2"/>
    <m/>
    <n v="230"/>
    <s v="Medium"/>
  </r>
  <r>
    <x v="87"/>
    <s v="Neha Patil"/>
    <x v="2"/>
    <x v="3"/>
    <n v="7.04"/>
    <n v="74"/>
    <n v="52.6"/>
    <n v="1"/>
    <s v="SQL, Data Analysis"/>
    <n v="2026"/>
    <x v="1"/>
    <x v="2"/>
    <m/>
    <n v="334"/>
    <s v="Medium"/>
  </r>
  <r>
    <x v="88"/>
    <s v="Akash Verma"/>
    <x v="3"/>
    <x v="7"/>
    <n v="8.41"/>
    <n v="68.5"/>
    <n v="71.900000000000006"/>
    <n v="0"/>
    <s v="React, SQL"/>
    <n v="2026"/>
    <x v="1"/>
    <x v="2"/>
    <m/>
    <n v="153"/>
    <s v="High"/>
  </r>
  <r>
    <x v="89"/>
    <s v="Rohan Patil"/>
    <x v="1"/>
    <x v="0"/>
    <n v="6.79"/>
    <n v="73.400000000000006"/>
    <n v="70.2"/>
    <n v="0"/>
    <s v="HTML/CSS, Git, Power BI"/>
    <n v="2026"/>
    <x v="1"/>
    <x v="2"/>
    <m/>
    <n v="364"/>
    <s v="Low"/>
  </r>
  <r>
    <x v="90"/>
    <s v="Manoj Shetty"/>
    <x v="2"/>
    <x v="3"/>
    <n v="7.12"/>
    <n v="78.400000000000006"/>
    <n v="67.8"/>
    <n v="0"/>
    <s v="HTML/CSS, SQL, Python"/>
    <n v="2027"/>
    <x v="0"/>
    <x v="7"/>
    <n v="10.7"/>
    <n v="321"/>
    <s v="Medium"/>
  </r>
  <r>
    <x v="91"/>
    <s v="Karan Gowda"/>
    <x v="0"/>
    <x v="2"/>
    <n v="8.0399999999999991"/>
    <n v="82"/>
    <n v="65.099999999999994"/>
    <n v="0"/>
    <s v="JavaScript, Data Analysis"/>
    <n v="2026"/>
    <x v="0"/>
    <x v="14"/>
    <n v="13.5"/>
    <n v="201"/>
    <s v="High"/>
  </r>
  <r>
    <x v="92"/>
    <s v="Tanvi Jain"/>
    <x v="1"/>
    <x v="0"/>
    <n v="9.8000000000000007"/>
    <n v="61.5"/>
    <n v="63.6"/>
    <n v="1"/>
    <s v="HTML/CSS, Python"/>
    <n v="2026"/>
    <x v="0"/>
    <x v="14"/>
    <n v="12.2"/>
    <n v="1"/>
    <s v="Very High"/>
  </r>
  <r>
    <x v="93"/>
    <s v="Neha Nair"/>
    <x v="1"/>
    <x v="1"/>
    <n v="7.55"/>
    <n v="72.3"/>
    <n v="81.099999999999994"/>
    <n v="0"/>
    <s v="Git, Power BI, React, SQL, Data Analysis"/>
    <n v="2026"/>
    <x v="2"/>
    <x v="2"/>
    <m/>
    <n v="268"/>
    <s v="Medium"/>
  </r>
  <r>
    <x v="94"/>
    <s v="Rahul Rao"/>
    <x v="2"/>
    <x v="2"/>
    <n v="7.65"/>
    <n v="66.8"/>
    <n v="67.599999999999994"/>
    <n v="0"/>
    <s v="Java, Python, Power BI"/>
    <n v="2025"/>
    <x v="2"/>
    <x v="2"/>
    <m/>
    <n v="250"/>
    <s v="Medium"/>
  </r>
  <r>
    <x v="95"/>
    <s v="Divya Desai"/>
    <x v="0"/>
    <x v="2"/>
    <n v="6.14"/>
    <n v="61.7"/>
    <n v="70.7"/>
    <n v="0"/>
    <s v="SQL, Java, React, Python, Excel"/>
    <n v="2026"/>
    <x v="2"/>
    <x v="2"/>
    <m/>
    <n v="437"/>
    <s v="Low"/>
  </r>
  <r>
    <x v="96"/>
    <s v="Tanvi Gowda"/>
    <x v="0"/>
    <x v="2"/>
    <n v="6.7"/>
    <n v="68.400000000000006"/>
    <n v="54.6"/>
    <n v="0"/>
    <s v="Python, Git, Excel, Data Analysis"/>
    <n v="2027"/>
    <x v="2"/>
    <x v="2"/>
    <m/>
    <n v="374"/>
    <s v="Low"/>
  </r>
  <r>
    <x v="97"/>
    <s v="Nikhil Reddy"/>
    <x v="3"/>
    <x v="7"/>
    <n v="5.82"/>
    <n v="58.3"/>
    <n v="61.8"/>
    <n v="1"/>
    <s v="SQL, Power BI, Java, Python, Excel"/>
    <n v="2025"/>
    <x v="1"/>
    <x v="2"/>
    <m/>
    <n v="475"/>
    <s v="Low"/>
  </r>
  <r>
    <x v="98"/>
    <s v="Shreya Reddy"/>
    <x v="0"/>
    <x v="2"/>
    <n v="8.19"/>
    <n v="55.7"/>
    <n v="73.7"/>
    <n v="0"/>
    <s v="Power BI, JavaScript, Excel"/>
    <n v="2026"/>
    <x v="0"/>
    <x v="6"/>
    <n v="5.2"/>
    <n v="183"/>
    <s v="High"/>
  </r>
  <r>
    <x v="99"/>
    <s v="Aarav Singh"/>
    <x v="2"/>
    <x v="3"/>
    <n v="9.61"/>
    <n v="77.900000000000006"/>
    <n v="86.2"/>
    <n v="0"/>
    <s v="JavaScript, React"/>
    <n v="2025"/>
    <x v="0"/>
    <x v="10"/>
    <n v="5.9"/>
    <n v="19"/>
    <s v="Very High"/>
  </r>
  <r>
    <x v="100"/>
    <s v="Nikhil Gowda"/>
    <x v="0"/>
    <x v="2"/>
    <n v="6.76"/>
    <n v="82.6"/>
    <n v="54.8"/>
    <n v="0"/>
    <s v="Python, Excel, HTML/CSS, Power BI"/>
    <n v="2026"/>
    <x v="1"/>
    <x v="2"/>
    <m/>
    <n v="368"/>
    <s v="Low"/>
  </r>
  <r>
    <x v="101"/>
    <s v="Vikas Mishra"/>
    <x v="1"/>
    <x v="0"/>
    <n v="6.05"/>
    <n v="87.6"/>
    <n v="71.099999999999994"/>
    <n v="0"/>
    <s v="Java, Excel"/>
    <n v="2026"/>
    <x v="2"/>
    <x v="2"/>
    <m/>
    <n v="450"/>
    <s v="Low"/>
  </r>
  <r>
    <x v="102"/>
    <s v="Suraj Naik"/>
    <x v="3"/>
    <x v="4"/>
    <n v="5.95"/>
    <n v="82.2"/>
    <n v="63.2"/>
    <n v="1"/>
    <s v="HTML/CSS, Power BI"/>
    <n v="2025"/>
    <x v="2"/>
    <x v="2"/>
    <m/>
    <n v="465"/>
    <s v="Low"/>
  </r>
  <r>
    <x v="103"/>
    <s v="Ishita Kumar"/>
    <x v="3"/>
    <x v="4"/>
    <n v="9.69"/>
    <n v="75.8"/>
    <n v="72.900000000000006"/>
    <n v="2"/>
    <s v="SQL, JavaScript, Git, Java"/>
    <n v="2026"/>
    <x v="1"/>
    <x v="2"/>
    <m/>
    <n v="10"/>
    <s v="Very High"/>
  </r>
  <r>
    <x v="104"/>
    <s v="Rohan Bhat"/>
    <x v="0"/>
    <x v="0"/>
    <n v="7.11"/>
    <n v="67.400000000000006"/>
    <n v="70.5"/>
    <n v="0"/>
    <s v="React, HTML/CSS, Git"/>
    <n v="2025"/>
    <x v="2"/>
    <x v="2"/>
    <m/>
    <n v="322"/>
    <s v="Medium"/>
  </r>
  <r>
    <x v="105"/>
    <s v="Kavya Desai"/>
    <x v="2"/>
    <x v="3"/>
    <n v="6.1"/>
    <n v="81.8"/>
    <n v="66.7"/>
    <n v="1"/>
    <s v="Excel, Python, React"/>
    <n v="2025"/>
    <x v="0"/>
    <x v="1"/>
    <n v="10.199999999999999"/>
    <n v="442"/>
    <s v="Low"/>
  </r>
  <r>
    <x v="106"/>
    <s v="Harsh Gupta"/>
    <x v="0"/>
    <x v="5"/>
    <n v="6.41"/>
    <n v="73.900000000000006"/>
    <n v="67.099999999999994"/>
    <n v="0"/>
    <s v="Git, Python"/>
    <n v="2026"/>
    <x v="1"/>
    <x v="2"/>
    <m/>
    <n v="415"/>
    <s v="Low"/>
  </r>
  <r>
    <x v="107"/>
    <s v="Deepak Rao"/>
    <x v="0"/>
    <x v="0"/>
    <n v="8.74"/>
    <n v="76"/>
    <n v="67.8"/>
    <n v="0"/>
    <s v="Power BI, React, Java, Git"/>
    <n v="2026"/>
    <x v="2"/>
    <x v="2"/>
    <m/>
    <n v="117"/>
    <s v="High"/>
  </r>
  <r>
    <x v="108"/>
    <s v="Sanjay Kulkarni"/>
    <x v="1"/>
    <x v="0"/>
    <n v="7.61"/>
    <n v="92.7"/>
    <n v="70.5"/>
    <n v="0"/>
    <s v="HTML/CSS, SQL, Power BI, Python"/>
    <n v="2027"/>
    <x v="1"/>
    <x v="2"/>
    <m/>
    <n v="257"/>
    <s v="Medium"/>
  </r>
  <r>
    <x v="109"/>
    <s v="Arjun Jain"/>
    <x v="2"/>
    <x v="4"/>
    <n v="6.29"/>
    <n v="63.4"/>
    <n v="56.4"/>
    <n v="1"/>
    <s v="HTML/CSS, Data Analysis"/>
    <n v="2026"/>
    <x v="1"/>
    <x v="2"/>
    <m/>
    <n v="424"/>
    <s v="Low"/>
  </r>
  <r>
    <x v="110"/>
    <s v="Kavya Shetty"/>
    <x v="0"/>
    <x v="0"/>
    <n v="7.04"/>
    <n v="97"/>
    <n v="83.1"/>
    <n v="0"/>
    <s v="Git, SQL, Python, React, HTML/CSS"/>
    <n v="2025"/>
    <x v="1"/>
    <x v="2"/>
    <m/>
    <n v="334"/>
    <s v="Medium"/>
  </r>
  <r>
    <x v="111"/>
    <s v="Pooja Hegde"/>
    <x v="1"/>
    <x v="0"/>
    <n v="7.53"/>
    <n v="93.2"/>
    <n v="52.5"/>
    <n v="0"/>
    <s v="Power BI, Python, Data Analysis"/>
    <n v="2026"/>
    <x v="2"/>
    <x v="2"/>
    <m/>
    <n v="272"/>
    <s v="Medium"/>
  </r>
  <r>
    <x v="112"/>
    <s v="Shreya Jain"/>
    <x v="0"/>
    <x v="2"/>
    <n v="6.59"/>
    <n v="95.2"/>
    <n v="62.6"/>
    <n v="0"/>
    <s v="Data Analysis, Python"/>
    <n v="2026"/>
    <x v="2"/>
    <x v="2"/>
    <m/>
    <n v="390"/>
    <s v="Low"/>
  </r>
  <r>
    <x v="113"/>
    <s v="Nisha Gupta"/>
    <x v="2"/>
    <x v="3"/>
    <n v="9.1"/>
    <n v="56.2"/>
    <n v="52.1"/>
    <n v="0"/>
    <s v="Java, JavaScript, Excel, Git"/>
    <n v="2027"/>
    <x v="0"/>
    <x v="7"/>
    <n v="13.5"/>
    <n v="74"/>
    <s v="Very High"/>
  </r>
  <r>
    <x v="114"/>
    <s v="Manoj Shetty"/>
    <x v="3"/>
    <x v="4"/>
    <n v="7.61"/>
    <n v="83.9"/>
    <n v="57.3"/>
    <n v="0"/>
    <s v="Java, HTML/CSS, Python, React, Data Analysis"/>
    <n v="2026"/>
    <x v="2"/>
    <x v="2"/>
    <m/>
    <n v="257"/>
    <s v="Medium"/>
  </r>
  <r>
    <x v="115"/>
    <s v="Divya Kulkarni"/>
    <x v="2"/>
    <x v="3"/>
    <n v="7.08"/>
    <n v="74.599999999999994"/>
    <n v="62.3"/>
    <n v="0"/>
    <s v="Excel, Power BI"/>
    <n v="2027"/>
    <x v="2"/>
    <x v="2"/>
    <m/>
    <n v="326"/>
    <s v="Medium"/>
  </r>
  <r>
    <x v="116"/>
    <s v="Riya Singh"/>
    <x v="2"/>
    <x v="8"/>
    <n v="6.56"/>
    <n v="61.7"/>
    <n v="95.8"/>
    <n v="0"/>
    <s v="React, Excel, SQL, Java"/>
    <n v="2026"/>
    <x v="2"/>
    <x v="2"/>
    <m/>
    <n v="394"/>
    <s v="Low"/>
  </r>
  <r>
    <x v="117"/>
    <s v="Kavya Patil"/>
    <x v="0"/>
    <x v="0"/>
    <n v="6.93"/>
    <n v="80.099999999999994"/>
    <n v="88.8"/>
    <n v="0"/>
    <s v="Data Analysis, Excel, SQL, Java"/>
    <n v="2025"/>
    <x v="0"/>
    <x v="10"/>
    <n v="11.4"/>
    <n v="344"/>
    <s v="Low"/>
  </r>
  <r>
    <x v="118"/>
    <s v="Rahul Singh"/>
    <x v="3"/>
    <x v="3"/>
    <n v="8.08"/>
    <n v="63.2"/>
    <n v="75.400000000000006"/>
    <n v="0"/>
    <s v="Data Analysis, Power BI, SQL, React, Excel"/>
    <n v="2026"/>
    <x v="2"/>
    <x v="2"/>
    <m/>
    <n v="195"/>
    <s v="High"/>
  </r>
  <r>
    <x v="119"/>
    <s v="Karan Kulkarni"/>
    <x v="1"/>
    <x v="0"/>
    <n v="8.2100000000000009"/>
    <n v="71.900000000000006"/>
    <n v="51.9"/>
    <n v="0"/>
    <s v="React, Data Analysis, Git, SQL"/>
    <n v="2026"/>
    <x v="0"/>
    <x v="10"/>
    <n v="13.3"/>
    <n v="179"/>
    <s v="High"/>
  </r>
  <r>
    <x v="120"/>
    <s v="Riya Hegde"/>
    <x v="3"/>
    <x v="7"/>
    <n v="8.76"/>
    <n v="67.599999999999994"/>
    <n v="65.5"/>
    <n v="1"/>
    <s v="Git, Power BI, React, JavaScript, Excel"/>
    <n v="2026"/>
    <x v="2"/>
    <x v="2"/>
    <m/>
    <n v="115"/>
    <s v="High"/>
  </r>
  <r>
    <x v="121"/>
    <s v="Arjun Gupta"/>
    <x v="0"/>
    <x v="5"/>
    <n v="7.7"/>
    <n v="95.6"/>
    <n v="86"/>
    <n v="0"/>
    <s v="Excel, React, Python"/>
    <n v="2026"/>
    <x v="2"/>
    <x v="2"/>
    <m/>
    <n v="245"/>
    <s v="Medium"/>
  </r>
  <r>
    <x v="122"/>
    <s v="Suraj Patil"/>
    <x v="0"/>
    <x v="5"/>
    <n v="9.59"/>
    <n v="59.6"/>
    <n v="50.9"/>
    <n v="0"/>
    <s v="JavaScript, Java, Git"/>
    <n v="2026"/>
    <x v="0"/>
    <x v="13"/>
    <n v="12.6"/>
    <n v="23"/>
    <s v="Very High"/>
  </r>
  <r>
    <x v="123"/>
    <s v="Shreya Joshi"/>
    <x v="1"/>
    <x v="1"/>
    <n v="6.63"/>
    <n v="68.7"/>
    <n v="80.5"/>
    <n v="0"/>
    <s v="Python, React, HTML/CSS, Power BI"/>
    <n v="2026"/>
    <x v="1"/>
    <x v="2"/>
    <m/>
    <n v="383"/>
    <s v="Low"/>
  </r>
  <r>
    <x v="124"/>
    <s v="Harsh Hegde"/>
    <x v="3"/>
    <x v="3"/>
    <n v="9.6300000000000008"/>
    <n v="66.7"/>
    <n v="63.7"/>
    <n v="2"/>
    <s v="Power BI, Java, React, Python"/>
    <n v="2026"/>
    <x v="1"/>
    <x v="2"/>
    <m/>
    <n v="15"/>
    <s v="Very High"/>
  </r>
  <r>
    <x v="125"/>
    <s v="Harsh Gowda"/>
    <x v="0"/>
    <x v="5"/>
    <n v="8.51"/>
    <n v="70.900000000000006"/>
    <n v="95.1"/>
    <n v="1"/>
    <s v="Power BI, Excel, Git"/>
    <n v="2027"/>
    <x v="0"/>
    <x v="3"/>
    <n v="8"/>
    <n v="144"/>
    <s v="High"/>
  </r>
  <r>
    <x v="126"/>
    <s v="Divya Gupta"/>
    <x v="1"/>
    <x v="0"/>
    <n v="9.11"/>
    <n v="66.400000000000006"/>
    <n v="75.900000000000006"/>
    <n v="0"/>
    <s v="Git, Java"/>
    <n v="2026"/>
    <x v="1"/>
    <x v="2"/>
    <m/>
    <n v="73"/>
    <s v="Very High"/>
  </r>
  <r>
    <x v="127"/>
    <s v="Nisha Nair"/>
    <x v="0"/>
    <x v="0"/>
    <n v="7.45"/>
    <n v="85.1"/>
    <n v="54.6"/>
    <n v="0"/>
    <s v="Data Analysis, Python"/>
    <n v="2026"/>
    <x v="2"/>
    <x v="2"/>
    <m/>
    <n v="280"/>
    <s v="Medium"/>
  </r>
  <r>
    <x v="128"/>
    <s v="Vikas Desai"/>
    <x v="2"/>
    <x v="8"/>
    <n v="6.94"/>
    <n v="57.5"/>
    <n v="85.4"/>
    <n v="0"/>
    <s v="Data Analysis, Excel, Python"/>
    <n v="2026"/>
    <x v="2"/>
    <x v="2"/>
    <m/>
    <n v="343"/>
    <s v="Low"/>
  </r>
  <r>
    <x v="129"/>
    <s v="Rahul Verma"/>
    <x v="3"/>
    <x v="3"/>
    <n v="9.5500000000000007"/>
    <n v="95.4"/>
    <n v="72.2"/>
    <n v="1"/>
    <s v="Power BI, SQL"/>
    <n v="2027"/>
    <x v="0"/>
    <x v="13"/>
    <n v="13.9"/>
    <n v="28"/>
    <s v="Very High"/>
  </r>
  <r>
    <x v="130"/>
    <s v="Tanvi Nair"/>
    <x v="3"/>
    <x v="3"/>
    <n v="9.1999999999999993"/>
    <n v="74.7"/>
    <n v="58.9"/>
    <n v="0"/>
    <s v="React, Power BI, Python"/>
    <n v="2025"/>
    <x v="0"/>
    <x v="12"/>
    <n v="9.3000000000000007"/>
    <n v="63"/>
    <s v="Very High"/>
  </r>
  <r>
    <x v="131"/>
    <s v="Aarav Joshi"/>
    <x v="1"/>
    <x v="1"/>
    <n v="9.2200000000000006"/>
    <n v="92.7"/>
    <n v="88"/>
    <n v="0"/>
    <s v="JavaScript, SQL"/>
    <n v="2026"/>
    <x v="0"/>
    <x v="10"/>
    <n v="13.3"/>
    <n v="59"/>
    <s v="Very High"/>
  </r>
  <r>
    <x v="132"/>
    <s v="Bhavana Desai"/>
    <x v="3"/>
    <x v="3"/>
    <n v="7.59"/>
    <n v="66.2"/>
    <n v="65.2"/>
    <n v="0"/>
    <s v="Power BI, HTML/CSS"/>
    <n v="2026"/>
    <x v="0"/>
    <x v="4"/>
    <n v="8.1999999999999993"/>
    <n v="262"/>
    <s v="Medium"/>
  </r>
  <r>
    <x v="133"/>
    <s v="Sneha Mishra"/>
    <x v="2"/>
    <x v="3"/>
    <n v="8.35"/>
    <n v="94.5"/>
    <n v="66.900000000000006"/>
    <n v="0"/>
    <s v="React, Python, Git"/>
    <n v="2026"/>
    <x v="2"/>
    <x v="2"/>
    <m/>
    <n v="164"/>
    <s v="High"/>
  </r>
  <r>
    <x v="134"/>
    <s v="Aditi Mishra"/>
    <x v="3"/>
    <x v="7"/>
    <n v="9.01"/>
    <n v="89.7"/>
    <n v="85"/>
    <n v="0"/>
    <s v="Data Analysis, React"/>
    <n v="2026"/>
    <x v="0"/>
    <x v="3"/>
    <n v="9.3000000000000007"/>
    <n v="85"/>
    <s v="Very High"/>
  </r>
  <r>
    <x v="135"/>
    <s v="Pooja Bhat"/>
    <x v="1"/>
    <x v="1"/>
    <n v="7.95"/>
    <n v="61.9"/>
    <n v="89.3"/>
    <n v="0"/>
    <s v="Git, React, SQL"/>
    <n v="2027"/>
    <x v="0"/>
    <x v="9"/>
    <n v="8.1"/>
    <n v="209"/>
    <s v="Medium"/>
  </r>
  <r>
    <x v="136"/>
    <s v="Rahul Patil"/>
    <x v="3"/>
    <x v="7"/>
    <n v="6.03"/>
    <n v="74.400000000000006"/>
    <n v="87.1"/>
    <n v="0"/>
    <s v="Power BI, Excel, Java, Git, Data Analysis"/>
    <n v="2025"/>
    <x v="2"/>
    <x v="2"/>
    <m/>
    <n v="452"/>
    <s v="Low"/>
  </r>
  <r>
    <x v="137"/>
    <s v="Yash Mishra"/>
    <x v="0"/>
    <x v="2"/>
    <n v="5.93"/>
    <n v="72.2"/>
    <n v="85.4"/>
    <n v="0"/>
    <s v="HTML/CSS, JavaScript, React, Data Analysis, Java"/>
    <n v="2026"/>
    <x v="1"/>
    <x v="2"/>
    <m/>
    <n v="468"/>
    <s v="Low"/>
  </r>
  <r>
    <x v="138"/>
    <s v="Rahul Desai"/>
    <x v="1"/>
    <x v="1"/>
    <n v="9.24"/>
    <n v="60"/>
    <n v="95.7"/>
    <n v="0"/>
    <s v="Java, Excel, Data Analysis"/>
    <n v="2027"/>
    <x v="0"/>
    <x v="11"/>
    <n v="9.1"/>
    <n v="54"/>
    <s v="Very High"/>
  </r>
  <r>
    <x v="139"/>
    <s v="Divya Nair"/>
    <x v="1"/>
    <x v="0"/>
    <n v="7.64"/>
    <n v="61.5"/>
    <n v="58.7"/>
    <n v="1"/>
    <s v="Excel, JavaScript"/>
    <n v="2026"/>
    <x v="2"/>
    <x v="2"/>
    <m/>
    <n v="251"/>
    <s v="Medium"/>
  </r>
  <r>
    <x v="140"/>
    <s v="Arjun Verma"/>
    <x v="0"/>
    <x v="0"/>
    <n v="8.18"/>
    <n v="73.8"/>
    <n v="80.900000000000006"/>
    <n v="1"/>
    <s v="Excel, JavaScript, React"/>
    <n v="2026"/>
    <x v="0"/>
    <x v="8"/>
    <n v="11.6"/>
    <n v="184"/>
    <s v="High"/>
  </r>
  <r>
    <x v="141"/>
    <s v="Riya Kulkarni"/>
    <x v="2"/>
    <x v="4"/>
    <n v="9.06"/>
    <n v="85.7"/>
    <n v="64.7"/>
    <n v="0"/>
    <s v="Java, Power BI, Python, HTML/CSS"/>
    <n v="2026"/>
    <x v="0"/>
    <x v="12"/>
    <n v="3.9"/>
    <n v="79"/>
    <s v="Very High"/>
  </r>
  <r>
    <x v="142"/>
    <s v="Divya Gupta"/>
    <x v="3"/>
    <x v="7"/>
    <n v="7.78"/>
    <n v="95.8"/>
    <n v="93.3"/>
    <n v="0"/>
    <s v="JavaScript, Git, Python, React"/>
    <n v="2026"/>
    <x v="2"/>
    <x v="2"/>
    <m/>
    <n v="230"/>
    <s v="Medium"/>
  </r>
  <r>
    <x v="143"/>
    <s v="Yash Singh"/>
    <x v="2"/>
    <x v="4"/>
    <n v="9.02"/>
    <n v="93.4"/>
    <n v="75.900000000000006"/>
    <n v="2"/>
    <s v="JavaScript, Java, Power BI"/>
    <n v="2026"/>
    <x v="2"/>
    <x v="2"/>
    <m/>
    <n v="83"/>
    <s v="Very High"/>
  </r>
  <r>
    <x v="144"/>
    <s v="Rahul Nair"/>
    <x v="0"/>
    <x v="5"/>
    <n v="8.6999999999999993"/>
    <n v="63"/>
    <n v="62.3"/>
    <n v="0"/>
    <s v="SQL, Java"/>
    <n v="2026"/>
    <x v="1"/>
    <x v="2"/>
    <m/>
    <n v="123"/>
    <s v="High"/>
  </r>
  <r>
    <x v="145"/>
    <s v="Pranav Gupta"/>
    <x v="3"/>
    <x v="3"/>
    <n v="9.2799999999999994"/>
    <n v="69"/>
    <n v="94"/>
    <n v="0"/>
    <s v="SQL, React, Java"/>
    <n v="2026"/>
    <x v="2"/>
    <x v="2"/>
    <m/>
    <n v="48"/>
    <s v="Very High"/>
  </r>
  <r>
    <x v="146"/>
    <s v="Yash Gupta"/>
    <x v="2"/>
    <x v="8"/>
    <n v="7.32"/>
    <n v="77.400000000000006"/>
    <n v="66.5"/>
    <n v="0"/>
    <s v="React, SQL, Git, JavaScript, Python"/>
    <n v="2027"/>
    <x v="0"/>
    <x v="6"/>
    <n v="3.7"/>
    <n v="300"/>
    <s v="Medium"/>
  </r>
  <r>
    <x v="147"/>
    <s v="Rahul Kumar"/>
    <x v="1"/>
    <x v="0"/>
    <n v="6.84"/>
    <n v="94.3"/>
    <n v="76.599999999999994"/>
    <n v="0"/>
    <s v="Java, HTML/CSS, Git"/>
    <n v="2026"/>
    <x v="2"/>
    <x v="2"/>
    <m/>
    <n v="355"/>
    <s v="Low"/>
  </r>
  <r>
    <x v="148"/>
    <s v="Pooja Patil"/>
    <x v="2"/>
    <x v="2"/>
    <n v="9.67"/>
    <n v="82"/>
    <n v="72.599999999999994"/>
    <n v="0"/>
    <s v="Python, Git, React, SQL"/>
    <n v="2027"/>
    <x v="0"/>
    <x v="7"/>
    <n v="13.5"/>
    <n v="13"/>
    <s v="Very High"/>
  </r>
  <r>
    <x v="149"/>
    <s v="Rohan Jain"/>
    <x v="0"/>
    <x v="5"/>
    <n v="5.99"/>
    <n v="55.3"/>
    <n v="56.3"/>
    <n v="0"/>
    <s v="Python, Excel"/>
    <n v="2026"/>
    <x v="2"/>
    <x v="2"/>
    <m/>
    <n v="460"/>
    <s v="Low"/>
  </r>
  <r>
    <x v="150"/>
    <s v="Ananya Rao"/>
    <x v="3"/>
    <x v="7"/>
    <n v="7.75"/>
    <n v="55.3"/>
    <n v="75.400000000000006"/>
    <n v="0"/>
    <s v="Data Analysis, Power BI, Excel, Git"/>
    <n v="2026"/>
    <x v="2"/>
    <x v="2"/>
    <m/>
    <n v="241"/>
    <s v="Medium"/>
  </r>
  <r>
    <x v="151"/>
    <s v="Shreya Reddy"/>
    <x v="1"/>
    <x v="0"/>
    <n v="6.57"/>
    <n v="77.099999999999994"/>
    <n v="87.5"/>
    <n v="0"/>
    <s v="SQL, HTML/CSS, JavaScript, Java, Power BI"/>
    <n v="2026"/>
    <x v="2"/>
    <x v="2"/>
    <m/>
    <n v="392"/>
    <s v="Low"/>
  </r>
  <r>
    <x v="152"/>
    <s v="Neha Verma"/>
    <x v="0"/>
    <x v="0"/>
    <n v="7.42"/>
    <n v="70.8"/>
    <n v="71.900000000000006"/>
    <n v="0"/>
    <s v="SQL, React, JavaScript"/>
    <n v="2026"/>
    <x v="0"/>
    <x v="8"/>
    <n v="13.7"/>
    <n v="289"/>
    <s v="Medium"/>
  </r>
  <r>
    <x v="153"/>
    <s v="Bhavana Kumar"/>
    <x v="0"/>
    <x v="0"/>
    <n v="6.65"/>
    <n v="91.5"/>
    <n v="90.8"/>
    <n v="0"/>
    <s v="SQL, Power BI"/>
    <n v="2027"/>
    <x v="2"/>
    <x v="2"/>
    <m/>
    <n v="381"/>
    <s v="Low"/>
  </r>
  <r>
    <x v="154"/>
    <s v="Shreya Mishra"/>
    <x v="0"/>
    <x v="0"/>
    <n v="8.15"/>
    <n v="86.6"/>
    <n v="82.8"/>
    <n v="0"/>
    <s v="Power BI, Python"/>
    <n v="2026"/>
    <x v="2"/>
    <x v="2"/>
    <m/>
    <n v="187"/>
    <s v="High"/>
  </r>
  <r>
    <x v="155"/>
    <s v="Rohan Desai"/>
    <x v="2"/>
    <x v="2"/>
    <n v="8.82"/>
    <n v="60.9"/>
    <n v="95.5"/>
    <n v="0"/>
    <s v="Excel, SQL, JavaScript, Data Analysis"/>
    <n v="2026"/>
    <x v="0"/>
    <x v="1"/>
    <n v="9.8000000000000007"/>
    <n v="104"/>
    <s v="High"/>
  </r>
  <r>
    <x v="156"/>
    <s v="Arjun Desai"/>
    <x v="2"/>
    <x v="3"/>
    <n v="8.34"/>
    <n v="87.9"/>
    <n v="70.7"/>
    <n v="0"/>
    <s v="JavaScript, Python, Git, Excel, Power BI"/>
    <n v="2026"/>
    <x v="0"/>
    <x v="4"/>
    <n v="4.0999999999999996"/>
    <n v="165"/>
    <s v="High"/>
  </r>
  <r>
    <x v="157"/>
    <s v="Pooja Bhat"/>
    <x v="1"/>
    <x v="1"/>
    <n v="7.36"/>
    <n v="70.099999999999994"/>
    <n v="54.2"/>
    <n v="2"/>
    <s v="HTML/CSS, Power BI, SQL, React, Excel"/>
    <n v="2026"/>
    <x v="1"/>
    <x v="2"/>
    <m/>
    <n v="293"/>
    <s v="Medium"/>
  </r>
  <r>
    <x v="158"/>
    <s v="Riya Verma"/>
    <x v="0"/>
    <x v="0"/>
    <n v="6.16"/>
    <n v="78.3"/>
    <n v="77.5"/>
    <n v="1"/>
    <s v="Excel, Power BI, JavaScript, Java, Git"/>
    <n v="2026"/>
    <x v="2"/>
    <x v="2"/>
    <m/>
    <n v="436"/>
    <s v="Low"/>
  </r>
  <r>
    <x v="159"/>
    <s v="Harsh Gupta"/>
    <x v="1"/>
    <x v="1"/>
    <n v="7.32"/>
    <n v="60.8"/>
    <n v="63.9"/>
    <n v="0"/>
    <s v="Python, JavaScript"/>
    <n v="2026"/>
    <x v="0"/>
    <x v="1"/>
    <n v="4"/>
    <n v="300"/>
    <s v="Medium"/>
  </r>
  <r>
    <x v="160"/>
    <s v="Rohan Shetty"/>
    <x v="3"/>
    <x v="7"/>
    <n v="8.27"/>
    <n v="74.2"/>
    <n v="56.2"/>
    <n v="0"/>
    <s v="HTML/CSS, JavaScript, Git, Java, Python"/>
    <n v="2026"/>
    <x v="1"/>
    <x v="2"/>
    <m/>
    <n v="172"/>
    <s v="High"/>
  </r>
  <r>
    <x v="161"/>
    <s v="Ananya Pillai"/>
    <x v="2"/>
    <x v="8"/>
    <n v="8.2100000000000009"/>
    <n v="84.2"/>
    <n v="72"/>
    <n v="0"/>
    <s v="HTML/CSS, Power BI, React, Data Analysis, SQL"/>
    <n v="2026"/>
    <x v="0"/>
    <x v="1"/>
    <n v="7.4"/>
    <n v="179"/>
    <s v="High"/>
  </r>
  <r>
    <x v="162"/>
    <s v="Shreya Gowda"/>
    <x v="1"/>
    <x v="1"/>
    <n v="9.7899999999999991"/>
    <n v="62.6"/>
    <n v="85.3"/>
    <n v="0"/>
    <s v="Java, React, Power BI, JavaScript, HTML/CSS"/>
    <n v="2025"/>
    <x v="2"/>
    <x v="2"/>
    <m/>
    <n v="3"/>
    <s v="Very High"/>
  </r>
  <r>
    <x v="163"/>
    <s v="Meera Mishra"/>
    <x v="1"/>
    <x v="1"/>
    <n v="7.01"/>
    <n v="65.599999999999994"/>
    <n v="57.1"/>
    <n v="0"/>
    <s v="SQL, React, Data Analysis, Power BI, Java"/>
    <n v="2026"/>
    <x v="1"/>
    <x v="2"/>
    <m/>
    <n v="337"/>
    <s v="Medium"/>
  </r>
  <r>
    <x v="164"/>
    <s v="Sanjay Desai"/>
    <x v="0"/>
    <x v="2"/>
    <n v="8.61"/>
    <n v="89.1"/>
    <n v="77.3"/>
    <n v="1"/>
    <s v="Java, HTML/CSS"/>
    <n v="2026"/>
    <x v="1"/>
    <x v="2"/>
    <m/>
    <n v="134"/>
    <s v="High"/>
  </r>
  <r>
    <x v="165"/>
    <s v="Pooja Shetty"/>
    <x v="2"/>
    <x v="2"/>
    <n v="6.22"/>
    <n v="59.1"/>
    <n v="60.2"/>
    <n v="0"/>
    <s v="React, HTML/CSS, JavaScript"/>
    <n v="2026"/>
    <x v="1"/>
    <x v="2"/>
    <m/>
    <n v="432"/>
    <s v="Low"/>
  </r>
  <r>
    <x v="166"/>
    <s v="Ananya Naik"/>
    <x v="2"/>
    <x v="3"/>
    <n v="7.73"/>
    <n v="67.400000000000006"/>
    <n v="92.3"/>
    <n v="0"/>
    <s v="HTML/CSS, Power BI, Git"/>
    <n v="2026"/>
    <x v="0"/>
    <x v="13"/>
    <n v="7"/>
    <n v="244"/>
    <s v="Medium"/>
  </r>
  <r>
    <x v="167"/>
    <s v="Nikhil Gupta"/>
    <x v="3"/>
    <x v="4"/>
    <n v="6.07"/>
    <n v="56.9"/>
    <n v="82.7"/>
    <n v="0"/>
    <s v="SQL, Python, Java, Power BI"/>
    <n v="2026"/>
    <x v="0"/>
    <x v="15"/>
    <n v="7.8"/>
    <n v="447"/>
    <s v="Low"/>
  </r>
  <r>
    <x v="168"/>
    <s v="Varun Reddy"/>
    <x v="3"/>
    <x v="7"/>
    <n v="6.54"/>
    <n v="81.900000000000006"/>
    <n v="69.900000000000006"/>
    <n v="0"/>
    <s v="React, JavaScript, Data Analysis"/>
    <n v="2025"/>
    <x v="0"/>
    <x v="12"/>
    <n v="11.3"/>
    <n v="400"/>
    <s v="Low"/>
  </r>
  <r>
    <x v="169"/>
    <s v="Bhavana Hegde"/>
    <x v="0"/>
    <x v="5"/>
    <n v="6.55"/>
    <n v="68.7"/>
    <n v="71"/>
    <n v="0"/>
    <s v="Data Analysis, HTML/CSS, JavaScript, Power BI, Java"/>
    <n v="2026"/>
    <x v="0"/>
    <x v="8"/>
    <n v="8.1"/>
    <n v="398"/>
    <s v="Low"/>
  </r>
  <r>
    <x v="170"/>
    <s v="Bhavana Gowda"/>
    <x v="0"/>
    <x v="5"/>
    <n v="6.34"/>
    <n v="60"/>
    <n v="64"/>
    <n v="0"/>
    <s v="Data Analysis, JavaScript, Git"/>
    <n v="2026"/>
    <x v="2"/>
    <x v="2"/>
    <m/>
    <n v="423"/>
    <s v="Low"/>
  </r>
  <r>
    <x v="171"/>
    <s v="Rahul Verma"/>
    <x v="1"/>
    <x v="1"/>
    <n v="6.47"/>
    <n v="67.099999999999994"/>
    <n v="58.6"/>
    <n v="1"/>
    <s v="HTML/CSS, Excel"/>
    <n v="2026"/>
    <x v="2"/>
    <x v="2"/>
    <m/>
    <n v="410"/>
    <s v="Low"/>
  </r>
  <r>
    <x v="172"/>
    <s v="Rahul Hegde"/>
    <x v="3"/>
    <x v="4"/>
    <n v="8.5399999999999991"/>
    <n v="72.5"/>
    <n v="88.6"/>
    <n v="0"/>
    <s v="Git, Excel"/>
    <n v="2026"/>
    <x v="0"/>
    <x v="9"/>
    <n v="6.2"/>
    <n v="142"/>
    <s v="High"/>
  </r>
  <r>
    <x v="173"/>
    <s v="Tanvi Naik"/>
    <x v="1"/>
    <x v="6"/>
    <n v="8.06"/>
    <n v="87.4"/>
    <n v="72.8"/>
    <n v="0"/>
    <s v="Power BI, Data Analysis"/>
    <n v="2026"/>
    <x v="0"/>
    <x v="8"/>
    <n v="11.4"/>
    <n v="200"/>
    <s v="High"/>
  </r>
  <r>
    <x v="174"/>
    <s v="Yash Rao"/>
    <x v="1"/>
    <x v="6"/>
    <n v="6.21"/>
    <n v="89.9"/>
    <n v="84.6"/>
    <n v="0"/>
    <s v="React, Power BI"/>
    <n v="2026"/>
    <x v="2"/>
    <x v="2"/>
    <m/>
    <n v="433"/>
    <s v="Low"/>
  </r>
  <r>
    <x v="175"/>
    <s v="Rahul Kulkarni"/>
    <x v="1"/>
    <x v="0"/>
    <n v="9.0399999999999991"/>
    <n v="79.7"/>
    <n v="66.099999999999994"/>
    <n v="0"/>
    <s v="Python, Git, Java, JavaScript, SQL"/>
    <n v="2026"/>
    <x v="0"/>
    <x v="15"/>
    <n v="6.2"/>
    <n v="82"/>
    <s v="Very High"/>
  </r>
  <r>
    <x v="176"/>
    <s v="Arjun Shetty"/>
    <x v="2"/>
    <x v="8"/>
    <n v="6.96"/>
    <n v="66.2"/>
    <n v="89.5"/>
    <n v="3"/>
    <s v="Python, JavaScript"/>
    <n v="2027"/>
    <x v="1"/>
    <x v="2"/>
    <m/>
    <n v="342"/>
    <s v="Low"/>
  </r>
  <r>
    <x v="177"/>
    <s v="Manoj Verma"/>
    <x v="1"/>
    <x v="0"/>
    <n v="8.65"/>
    <n v="89.8"/>
    <n v="85"/>
    <n v="0"/>
    <s v="Python, Power BI, JavaScript, Java, React"/>
    <n v="2025"/>
    <x v="2"/>
    <x v="2"/>
    <m/>
    <n v="130"/>
    <s v="High"/>
  </r>
  <r>
    <x v="178"/>
    <s v="Deepak Bhat"/>
    <x v="2"/>
    <x v="8"/>
    <n v="7.62"/>
    <n v="75.5"/>
    <n v="76.8"/>
    <n v="1"/>
    <s v="React, HTML/CSS"/>
    <n v="2027"/>
    <x v="2"/>
    <x v="2"/>
    <m/>
    <n v="255"/>
    <s v="Medium"/>
  </r>
  <r>
    <x v="179"/>
    <s v="Pranav Kulkarni"/>
    <x v="1"/>
    <x v="6"/>
    <n v="6.87"/>
    <n v="89.8"/>
    <n v="65.5"/>
    <n v="0"/>
    <s v="HTML/CSS, Excel, Data Analysis, React, Git"/>
    <n v="2026"/>
    <x v="2"/>
    <x v="2"/>
    <m/>
    <n v="351"/>
    <s v="Low"/>
  </r>
  <r>
    <x v="180"/>
    <s v="Kavya Kulkarni"/>
    <x v="3"/>
    <x v="4"/>
    <n v="5.8"/>
    <n v="95.2"/>
    <n v="59.3"/>
    <n v="0"/>
    <s v="Power BI, Python, Git"/>
    <n v="2025"/>
    <x v="2"/>
    <x v="2"/>
    <m/>
    <n v="480"/>
    <s v="Low"/>
  </r>
  <r>
    <x v="181"/>
    <s v="Shreya Naik"/>
    <x v="0"/>
    <x v="2"/>
    <n v="8.3000000000000007"/>
    <n v="85.5"/>
    <n v="84.7"/>
    <n v="0"/>
    <s v="SQL, Excel"/>
    <n v="2026"/>
    <x v="0"/>
    <x v="5"/>
    <n v="5.6"/>
    <n v="170"/>
    <s v="High"/>
  </r>
  <r>
    <x v="182"/>
    <s v="Ananya Kumar"/>
    <x v="0"/>
    <x v="0"/>
    <n v="8.58"/>
    <n v="89.3"/>
    <n v="95.5"/>
    <n v="0"/>
    <s v="React, SQL, Java"/>
    <n v="2026"/>
    <x v="2"/>
    <x v="2"/>
    <m/>
    <n v="138"/>
    <s v="High"/>
  </r>
  <r>
    <x v="183"/>
    <s v="Sanjay Shetty"/>
    <x v="2"/>
    <x v="8"/>
    <n v="6.35"/>
    <n v="87.5"/>
    <n v="84.6"/>
    <n v="0"/>
    <s v="SQL, Data Analysis, Excel"/>
    <n v="2026"/>
    <x v="0"/>
    <x v="10"/>
    <n v="11"/>
    <n v="421"/>
    <s v="Low"/>
  </r>
  <r>
    <x v="184"/>
    <s v="Harsh Reddy"/>
    <x v="3"/>
    <x v="7"/>
    <n v="8.5500000000000007"/>
    <n v="91.1"/>
    <n v="54"/>
    <n v="0"/>
    <s v="Git, JavaScript"/>
    <n v="2026"/>
    <x v="0"/>
    <x v="1"/>
    <n v="4.7"/>
    <n v="141"/>
    <s v="High"/>
  </r>
  <r>
    <x v="185"/>
    <s v="Manoj Hegde"/>
    <x v="1"/>
    <x v="1"/>
    <n v="8.1999999999999993"/>
    <n v="85.3"/>
    <n v="63.1"/>
    <n v="2"/>
    <s v="Power BI, Java"/>
    <n v="2026"/>
    <x v="1"/>
    <x v="2"/>
    <m/>
    <n v="181"/>
    <s v="High"/>
  </r>
  <r>
    <x v="186"/>
    <s v="Meera Singh"/>
    <x v="0"/>
    <x v="0"/>
    <n v="7.78"/>
    <n v="59.7"/>
    <n v="73"/>
    <n v="0"/>
    <s v="HTML/CSS, Git"/>
    <n v="2025"/>
    <x v="1"/>
    <x v="2"/>
    <m/>
    <n v="230"/>
    <s v="Medium"/>
  </r>
  <r>
    <x v="187"/>
    <s v="Meera Bhat"/>
    <x v="1"/>
    <x v="6"/>
    <n v="9.6199999999999992"/>
    <n v="87.4"/>
    <n v="50.8"/>
    <n v="0"/>
    <s v="Java, Excel, Data Analysis, JavaScript"/>
    <n v="2026"/>
    <x v="0"/>
    <x v="11"/>
    <n v="8.6"/>
    <n v="17"/>
    <s v="Very High"/>
  </r>
  <r>
    <x v="188"/>
    <s v="Sanjay Reddy"/>
    <x v="3"/>
    <x v="3"/>
    <n v="8.36"/>
    <n v="77.599999999999994"/>
    <n v="57"/>
    <n v="0"/>
    <s v="Data Analysis, Java"/>
    <n v="2027"/>
    <x v="0"/>
    <x v="10"/>
    <n v="7.4"/>
    <n v="162"/>
    <s v="High"/>
  </r>
  <r>
    <x v="189"/>
    <s v="Aarav Shetty"/>
    <x v="2"/>
    <x v="2"/>
    <n v="8.7200000000000006"/>
    <n v="90.6"/>
    <n v="52.7"/>
    <n v="0"/>
    <s v="SQL, React, Excel, Python, HTML/CSS"/>
    <n v="2026"/>
    <x v="2"/>
    <x v="2"/>
    <m/>
    <n v="120"/>
    <s v="High"/>
  </r>
  <r>
    <x v="190"/>
    <s v="Neha Sharma"/>
    <x v="0"/>
    <x v="0"/>
    <n v="7.79"/>
    <n v="69.599999999999994"/>
    <n v="73.8"/>
    <n v="1"/>
    <s v="Python, HTML/CSS, Git, Data Analysis"/>
    <n v="2026"/>
    <x v="0"/>
    <x v="3"/>
    <n v="4.5"/>
    <n v="229"/>
    <s v="Medium"/>
  </r>
  <r>
    <x v="191"/>
    <s v="Kavya Kulkarni"/>
    <x v="2"/>
    <x v="2"/>
    <n v="6.89"/>
    <n v="57.7"/>
    <n v="82.8"/>
    <n v="0"/>
    <s v="React, Git"/>
    <n v="2026"/>
    <x v="0"/>
    <x v="8"/>
    <n v="9.3000000000000007"/>
    <n v="347"/>
    <s v="Low"/>
  </r>
  <r>
    <x v="192"/>
    <s v="Bhavana Patil"/>
    <x v="2"/>
    <x v="3"/>
    <n v="9.3800000000000008"/>
    <n v="83.3"/>
    <n v="55.3"/>
    <n v="0"/>
    <s v="Excel, Git"/>
    <n v="2026"/>
    <x v="0"/>
    <x v="6"/>
    <n v="13.1"/>
    <n v="43"/>
    <s v="Very High"/>
  </r>
  <r>
    <x v="193"/>
    <s v="Bhavana Gupta"/>
    <x v="3"/>
    <x v="3"/>
    <n v="7.09"/>
    <n v="72.5"/>
    <n v="83.1"/>
    <n v="0"/>
    <s v="Git, HTML/CSS"/>
    <n v="2025"/>
    <x v="2"/>
    <x v="2"/>
    <m/>
    <n v="324"/>
    <s v="Medium"/>
  </r>
  <r>
    <x v="194"/>
    <s v="Suraj Jain"/>
    <x v="0"/>
    <x v="2"/>
    <n v="6.08"/>
    <n v="74.5"/>
    <n v="63"/>
    <n v="1"/>
    <s v="SQL, Data Analysis, React, Excel"/>
    <n v="2026"/>
    <x v="2"/>
    <x v="2"/>
    <m/>
    <n v="445"/>
    <s v="Low"/>
  </r>
  <r>
    <x v="195"/>
    <s v="Vikas Sharma"/>
    <x v="1"/>
    <x v="6"/>
    <n v="7.27"/>
    <n v="95.8"/>
    <n v="95.9"/>
    <n v="0"/>
    <s v="Python, Excel, JavaScript"/>
    <n v="2025"/>
    <x v="1"/>
    <x v="2"/>
    <m/>
    <n v="306"/>
    <s v="Medium"/>
  </r>
  <r>
    <x v="196"/>
    <s v="Akash Patil"/>
    <x v="2"/>
    <x v="3"/>
    <n v="8.84"/>
    <n v="70.8"/>
    <n v="84"/>
    <n v="0"/>
    <s v="Data Analysis, Java, JavaScript"/>
    <n v="2026"/>
    <x v="0"/>
    <x v="14"/>
    <n v="10.9"/>
    <n v="96"/>
    <s v="High"/>
  </r>
  <r>
    <x v="197"/>
    <s v="Meera Shetty"/>
    <x v="1"/>
    <x v="1"/>
    <n v="7.45"/>
    <n v="92.6"/>
    <n v="71.099999999999994"/>
    <n v="0"/>
    <s v="Data Analysis, Python"/>
    <n v="2026"/>
    <x v="0"/>
    <x v="5"/>
    <n v="9.3000000000000007"/>
    <n v="280"/>
    <s v="Medium"/>
  </r>
  <r>
    <x v="198"/>
    <s v="Ananya Shetty"/>
    <x v="1"/>
    <x v="6"/>
    <n v="6.84"/>
    <n v="68.2"/>
    <n v="86.8"/>
    <n v="0"/>
    <s v="HTML/CSS, React, Power BI, SQL"/>
    <n v="2025"/>
    <x v="0"/>
    <x v="1"/>
    <n v="11.5"/>
    <n v="355"/>
    <s v="Low"/>
  </r>
  <r>
    <x v="199"/>
    <s v="Ishita Jain"/>
    <x v="0"/>
    <x v="0"/>
    <n v="7.6"/>
    <n v="68.2"/>
    <n v="55.6"/>
    <n v="0"/>
    <s v="React, Power BI, Git"/>
    <n v="2026"/>
    <x v="0"/>
    <x v="14"/>
    <n v="11.9"/>
    <n v="261"/>
    <s v="Medium"/>
  </r>
  <r>
    <x v="200"/>
    <s v="Aarav Desai"/>
    <x v="0"/>
    <x v="0"/>
    <n v="9.14"/>
    <n v="68.8"/>
    <n v="54.2"/>
    <n v="0"/>
    <s v="JavaScript, Data Analysis, Excel, HTML/CSS"/>
    <n v="2026"/>
    <x v="2"/>
    <x v="2"/>
    <m/>
    <n v="70"/>
    <s v="Very High"/>
  </r>
  <r>
    <x v="201"/>
    <s v="Deepak Desai"/>
    <x v="3"/>
    <x v="7"/>
    <n v="8.7899999999999991"/>
    <n v="65.5"/>
    <n v="71.3"/>
    <n v="1"/>
    <s v="SQL, Excel, Data Analysis"/>
    <n v="2026"/>
    <x v="2"/>
    <x v="2"/>
    <m/>
    <n v="108"/>
    <s v="High"/>
  </r>
  <r>
    <x v="202"/>
    <s v="Karan Rao"/>
    <x v="2"/>
    <x v="3"/>
    <n v="8.1300000000000008"/>
    <n v="65.900000000000006"/>
    <n v="87.4"/>
    <n v="0"/>
    <s v="Java, React"/>
    <n v="2026"/>
    <x v="0"/>
    <x v="8"/>
    <n v="12.2"/>
    <n v="190"/>
    <s v="High"/>
  </r>
  <r>
    <x v="203"/>
    <s v="Arjun Patil"/>
    <x v="0"/>
    <x v="2"/>
    <n v="6"/>
    <n v="93.8"/>
    <n v="69.900000000000006"/>
    <n v="0"/>
    <s v="Excel, JavaScript, Data Analysis, SQL, Python"/>
    <n v="2026"/>
    <x v="0"/>
    <x v="12"/>
    <n v="8"/>
    <n v="457"/>
    <s v="Low"/>
  </r>
  <r>
    <x v="204"/>
    <s v="Sanjay Mishra"/>
    <x v="1"/>
    <x v="1"/>
    <n v="6.98"/>
    <n v="72.3"/>
    <n v="75.3"/>
    <n v="0"/>
    <s v="JavaScript, Python, Git, SQL"/>
    <n v="2026"/>
    <x v="2"/>
    <x v="2"/>
    <m/>
    <n v="341"/>
    <s v="Low"/>
  </r>
  <r>
    <x v="205"/>
    <s v="Harsh Patil"/>
    <x v="0"/>
    <x v="2"/>
    <n v="8.93"/>
    <n v="70.099999999999994"/>
    <n v="75"/>
    <n v="0"/>
    <s v="JavaScript, Power BI, Python, Excel"/>
    <n v="2026"/>
    <x v="0"/>
    <x v="3"/>
    <n v="12"/>
    <n v="90"/>
    <s v="High"/>
  </r>
  <r>
    <x v="206"/>
    <s v="Yash Desai"/>
    <x v="3"/>
    <x v="7"/>
    <n v="7.23"/>
    <n v="79.5"/>
    <n v="60.7"/>
    <n v="0"/>
    <s v="Java, Power BI, Excel"/>
    <n v="2026"/>
    <x v="1"/>
    <x v="2"/>
    <m/>
    <n v="309"/>
    <s v="Medium"/>
  </r>
  <r>
    <x v="207"/>
    <s v="Nisha Mishra"/>
    <x v="2"/>
    <x v="4"/>
    <n v="6.5"/>
    <n v="79.900000000000006"/>
    <n v="87.1"/>
    <n v="0"/>
    <s v="HTML/CSS, Python"/>
    <n v="2026"/>
    <x v="0"/>
    <x v="1"/>
    <n v="12.7"/>
    <n v="403"/>
    <s v="Low"/>
  </r>
  <r>
    <x v="208"/>
    <s v="Karan Patil"/>
    <x v="2"/>
    <x v="4"/>
    <n v="7.76"/>
    <n v="58.8"/>
    <n v="60.7"/>
    <n v="0"/>
    <s v="Excel, HTML/CSS, Java, JavaScript, SQL"/>
    <n v="2026"/>
    <x v="0"/>
    <x v="1"/>
    <n v="12.3"/>
    <n v="235"/>
    <s v="Medium"/>
  </r>
  <r>
    <x v="209"/>
    <s v="Suraj Bhat"/>
    <x v="0"/>
    <x v="0"/>
    <n v="8.15"/>
    <n v="93.5"/>
    <n v="85.6"/>
    <n v="1"/>
    <s v="SQL, HTML/CSS, JavaScript, Power BI"/>
    <n v="2025"/>
    <x v="0"/>
    <x v="14"/>
    <n v="13.7"/>
    <n v="187"/>
    <s v="High"/>
  </r>
  <r>
    <x v="210"/>
    <s v="Suraj Sharma"/>
    <x v="3"/>
    <x v="7"/>
    <n v="7.07"/>
    <n v="84.7"/>
    <n v="75.900000000000006"/>
    <n v="1"/>
    <s v="Java, Python, JavaScript, Data Analysis"/>
    <n v="2026"/>
    <x v="2"/>
    <x v="2"/>
    <m/>
    <n v="328"/>
    <s v="Medium"/>
  </r>
  <r>
    <x v="211"/>
    <s v="Kavya Kumar"/>
    <x v="3"/>
    <x v="7"/>
    <n v="7.76"/>
    <n v="80.3"/>
    <n v="92.4"/>
    <n v="2"/>
    <s v="Git, SQL, React"/>
    <n v="2025"/>
    <x v="2"/>
    <x v="2"/>
    <m/>
    <n v="235"/>
    <s v="Medium"/>
  </r>
  <r>
    <x v="212"/>
    <s v="Suraj Sharma"/>
    <x v="1"/>
    <x v="1"/>
    <n v="9.34"/>
    <n v="58.7"/>
    <n v="82.6"/>
    <n v="0"/>
    <s v="React, Excel, Power BI, SQL"/>
    <n v="2026"/>
    <x v="0"/>
    <x v="12"/>
    <n v="11.7"/>
    <n v="46"/>
    <s v="Very High"/>
  </r>
  <r>
    <x v="213"/>
    <s v="Divya Kulkarni"/>
    <x v="0"/>
    <x v="2"/>
    <n v="7.55"/>
    <n v="72.599999999999994"/>
    <n v="57.7"/>
    <n v="0"/>
    <s v="HTML/CSS, Data Analysis, JavaScript, Excel, Java"/>
    <n v="2026"/>
    <x v="1"/>
    <x v="2"/>
    <m/>
    <n v="268"/>
    <s v="Medium"/>
  </r>
  <r>
    <x v="214"/>
    <s v="Neha Reddy"/>
    <x v="3"/>
    <x v="3"/>
    <n v="9"/>
    <n v="56.4"/>
    <n v="50.9"/>
    <n v="0"/>
    <s v="SQL, HTML/CSS"/>
    <n v="2026"/>
    <x v="0"/>
    <x v="11"/>
    <n v="4"/>
    <n v="87"/>
    <s v="Very High"/>
  </r>
  <r>
    <x v="215"/>
    <s v="Suraj Mishra"/>
    <x v="2"/>
    <x v="2"/>
    <n v="8.6199999999999992"/>
    <n v="73.099999999999994"/>
    <n v="80.099999999999994"/>
    <n v="0"/>
    <s v="Python, Excel, SQL, Git, React"/>
    <n v="2027"/>
    <x v="0"/>
    <x v="15"/>
    <n v="11"/>
    <n v="133"/>
    <s v="High"/>
  </r>
  <r>
    <x v="216"/>
    <s v="Rohan Gowda"/>
    <x v="2"/>
    <x v="8"/>
    <n v="6.99"/>
    <n v="59"/>
    <n v="68.099999999999994"/>
    <n v="0"/>
    <s v="Python, Excel, HTML/CSS, Data Analysis, Java"/>
    <n v="2025"/>
    <x v="1"/>
    <x v="2"/>
    <m/>
    <n v="340"/>
    <s v="Low"/>
  </r>
  <r>
    <x v="217"/>
    <s v="Akash Mishra"/>
    <x v="1"/>
    <x v="0"/>
    <n v="7.76"/>
    <n v="62.2"/>
    <n v="63.4"/>
    <n v="0"/>
    <s v="Power BI, JavaScript"/>
    <n v="2026"/>
    <x v="2"/>
    <x v="2"/>
    <m/>
    <n v="235"/>
    <s v="Medium"/>
  </r>
  <r>
    <x v="218"/>
    <s v="Akash Singh"/>
    <x v="3"/>
    <x v="3"/>
    <n v="7.28"/>
    <n v="71"/>
    <n v="58.6"/>
    <n v="0"/>
    <s v="React, Power BI, Java, JavaScript, Python"/>
    <n v="2026"/>
    <x v="0"/>
    <x v="11"/>
    <n v="10.4"/>
    <n v="305"/>
    <s v="Medium"/>
  </r>
  <r>
    <x v="219"/>
    <s v="Pooja Pillai"/>
    <x v="3"/>
    <x v="7"/>
    <n v="6.71"/>
    <n v="57.6"/>
    <n v="67.8"/>
    <n v="0"/>
    <s v="Git, Java, React, Python, Excel"/>
    <n v="2026"/>
    <x v="2"/>
    <x v="2"/>
    <m/>
    <n v="373"/>
    <s v="Low"/>
  </r>
  <r>
    <x v="220"/>
    <s v="Deepak Shetty"/>
    <x v="1"/>
    <x v="0"/>
    <n v="9.6"/>
    <n v="73.900000000000006"/>
    <n v="93.7"/>
    <n v="0"/>
    <s v="Java, Python, Excel"/>
    <n v="2026"/>
    <x v="2"/>
    <x v="2"/>
    <m/>
    <n v="21"/>
    <s v="Very High"/>
  </r>
  <r>
    <x v="221"/>
    <s v="Pooja Bhat"/>
    <x v="2"/>
    <x v="8"/>
    <n v="9.44"/>
    <n v="93.4"/>
    <n v="53.1"/>
    <n v="0"/>
    <s v="Data Analysis, HTML/CSS, Power BI, React, Java"/>
    <n v="2027"/>
    <x v="0"/>
    <x v="11"/>
    <n v="9.9"/>
    <n v="35"/>
    <s v="Very High"/>
  </r>
  <r>
    <x v="222"/>
    <s v="Neha Bhat"/>
    <x v="0"/>
    <x v="2"/>
    <n v="6.4"/>
    <n v="78.8"/>
    <n v="76.8"/>
    <n v="2"/>
    <s v="SQL, Git"/>
    <n v="2026"/>
    <x v="2"/>
    <x v="2"/>
    <m/>
    <n v="416"/>
    <s v="Low"/>
  </r>
  <r>
    <x v="223"/>
    <s v="Neha Singh"/>
    <x v="2"/>
    <x v="2"/>
    <n v="8.42"/>
    <n v="79"/>
    <n v="71.8"/>
    <n v="0"/>
    <s v="Python, JavaScript, Excel, Java, Git"/>
    <n v="2026"/>
    <x v="0"/>
    <x v="13"/>
    <n v="13.1"/>
    <n v="151"/>
    <s v="High"/>
  </r>
  <r>
    <x v="224"/>
    <s v="Harsh Bhat"/>
    <x v="0"/>
    <x v="2"/>
    <n v="9.07"/>
    <n v="67.7"/>
    <n v="62.9"/>
    <n v="0"/>
    <s v="Java, Python"/>
    <n v="2026"/>
    <x v="2"/>
    <x v="2"/>
    <m/>
    <n v="77"/>
    <s v="Very High"/>
  </r>
  <r>
    <x v="225"/>
    <s v="Tanvi Verma"/>
    <x v="0"/>
    <x v="0"/>
    <n v="7.57"/>
    <n v="93.4"/>
    <n v="68.7"/>
    <n v="0"/>
    <s v="Excel, Data Analysis, Python, Git"/>
    <n v="2026"/>
    <x v="2"/>
    <x v="2"/>
    <m/>
    <n v="265"/>
    <s v="Medium"/>
  </r>
  <r>
    <x v="226"/>
    <s v="Pranav Rao"/>
    <x v="0"/>
    <x v="0"/>
    <n v="6.57"/>
    <n v="90"/>
    <n v="88.5"/>
    <n v="0"/>
    <s v="Excel, HTML/CSS, Java, Python, JavaScript"/>
    <n v="2026"/>
    <x v="1"/>
    <x v="2"/>
    <m/>
    <n v="392"/>
    <s v="Low"/>
  </r>
  <r>
    <x v="227"/>
    <s v="Bhavana Pillai"/>
    <x v="0"/>
    <x v="0"/>
    <n v="7.29"/>
    <n v="79.900000000000006"/>
    <n v="58.2"/>
    <n v="1"/>
    <s v="HTML/CSS, Python, Power BI, Git"/>
    <n v="2026"/>
    <x v="0"/>
    <x v="9"/>
    <n v="7.4"/>
    <n v="303"/>
    <s v="Medium"/>
  </r>
  <r>
    <x v="228"/>
    <s v="Varun Sharma"/>
    <x v="1"/>
    <x v="0"/>
    <n v="8.39"/>
    <n v="83.5"/>
    <n v="62.4"/>
    <n v="0"/>
    <s v="Excel, React"/>
    <n v="2027"/>
    <x v="1"/>
    <x v="2"/>
    <m/>
    <n v="158"/>
    <s v="High"/>
  </r>
  <r>
    <x v="229"/>
    <s v="Rohan Desai"/>
    <x v="1"/>
    <x v="6"/>
    <n v="8.23"/>
    <n v="94.6"/>
    <n v="82.8"/>
    <n v="0"/>
    <s v="JavaScript, Git, HTML/CSS, Java"/>
    <n v="2026"/>
    <x v="0"/>
    <x v="7"/>
    <n v="8.8000000000000007"/>
    <n v="178"/>
    <s v="High"/>
  </r>
  <r>
    <x v="230"/>
    <s v="Harsh Hegde"/>
    <x v="0"/>
    <x v="0"/>
    <n v="7.85"/>
    <n v="82.8"/>
    <n v="88.8"/>
    <n v="0"/>
    <s v="Power BI, SQL, React, Excel"/>
    <n v="2026"/>
    <x v="0"/>
    <x v="10"/>
    <n v="12.5"/>
    <n v="220"/>
    <s v="Medium"/>
  </r>
  <r>
    <x v="231"/>
    <s v="Suraj Patil"/>
    <x v="1"/>
    <x v="0"/>
    <n v="7.87"/>
    <n v="65.099999999999994"/>
    <n v="52.6"/>
    <n v="1"/>
    <s v="HTML/CSS, Python, Excel, Git, Java"/>
    <n v="2027"/>
    <x v="0"/>
    <x v="6"/>
    <n v="7.6"/>
    <n v="216"/>
    <s v="Medium"/>
  </r>
  <r>
    <x v="232"/>
    <s v="Ananya Gowda"/>
    <x v="1"/>
    <x v="6"/>
    <n v="8.7100000000000009"/>
    <n v="64.3"/>
    <n v="74.599999999999994"/>
    <n v="1"/>
    <s v="Data Analysis, Power BI, Python, JavaScript"/>
    <n v="2026"/>
    <x v="2"/>
    <x v="2"/>
    <m/>
    <n v="121"/>
    <s v="High"/>
  </r>
  <r>
    <x v="233"/>
    <s v="Kavya Joshi"/>
    <x v="1"/>
    <x v="1"/>
    <n v="6.83"/>
    <n v="89"/>
    <n v="85.1"/>
    <n v="0"/>
    <s v="SQL, Java, HTML/CSS, Git"/>
    <n v="2026"/>
    <x v="0"/>
    <x v="1"/>
    <n v="12.8"/>
    <n v="358"/>
    <s v="Low"/>
  </r>
  <r>
    <x v="234"/>
    <s v="Pooja Hegde"/>
    <x v="2"/>
    <x v="2"/>
    <n v="9.1999999999999993"/>
    <n v="74.8"/>
    <n v="89.9"/>
    <n v="0"/>
    <s v="React, Java"/>
    <n v="2026"/>
    <x v="2"/>
    <x v="2"/>
    <m/>
    <n v="63"/>
    <s v="Very High"/>
  </r>
  <r>
    <x v="235"/>
    <s v="Karan Patil"/>
    <x v="3"/>
    <x v="3"/>
    <n v="9.2799999999999994"/>
    <n v="61.3"/>
    <n v="95.6"/>
    <n v="0"/>
    <s v="Python, HTML/CSS, Git, JavaScript, Excel"/>
    <n v="2026"/>
    <x v="2"/>
    <x v="2"/>
    <m/>
    <n v="48"/>
    <s v="Very High"/>
  </r>
  <r>
    <x v="236"/>
    <s v="Aarav Patil"/>
    <x v="0"/>
    <x v="2"/>
    <n v="6.89"/>
    <n v="87"/>
    <n v="57.8"/>
    <n v="0"/>
    <s v="SQL, Python, JavaScript, HTML/CSS, Java"/>
    <n v="2026"/>
    <x v="2"/>
    <x v="2"/>
    <m/>
    <n v="347"/>
    <s v="Low"/>
  </r>
  <r>
    <x v="237"/>
    <s v="Arjun Rao"/>
    <x v="1"/>
    <x v="1"/>
    <n v="7.76"/>
    <n v="55.6"/>
    <n v="64.8"/>
    <n v="1"/>
    <s v="Excel, Git, Java"/>
    <n v="2026"/>
    <x v="2"/>
    <x v="2"/>
    <m/>
    <n v="235"/>
    <s v="Medium"/>
  </r>
  <r>
    <x v="238"/>
    <s v="Neha Gowda"/>
    <x v="3"/>
    <x v="7"/>
    <n v="8.15"/>
    <n v="62"/>
    <n v="87.9"/>
    <n v="0"/>
    <s v="React, Data Analysis, HTML/CSS, Java"/>
    <n v="2027"/>
    <x v="2"/>
    <x v="2"/>
    <m/>
    <n v="187"/>
    <s v="High"/>
  </r>
  <r>
    <x v="239"/>
    <s v="Varun Patil"/>
    <x v="2"/>
    <x v="4"/>
    <n v="6.46"/>
    <n v="93.1"/>
    <n v="87.4"/>
    <n v="0"/>
    <s v="Python, Java, Excel"/>
    <n v="2026"/>
    <x v="0"/>
    <x v="10"/>
    <n v="10.9"/>
    <n v="413"/>
    <s v="Low"/>
  </r>
  <r>
    <x v="240"/>
    <s v="Ananya Mishra"/>
    <x v="3"/>
    <x v="7"/>
    <n v="6.82"/>
    <n v="77.5"/>
    <n v="52.2"/>
    <n v="3"/>
    <s v="Excel, Git"/>
    <n v="2026"/>
    <x v="2"/>
    <x v="2"/>
    <m/>
    <n v="359"/>
    <s v="Low"/>
  </r>
  <r>
    <x v="241"/>
    <s v="Suraj Jain"/>
    <x v="2"/>
    <x v="2"/>
    <n v="8.61"/>
    <n v="63.6"/>
    <n v="81.5"/>
    <n v="0"/>
    <s v="SQL, Data Analysis, Power BI, React, JavaScript"/>
    <n v="2026"/>
    <x v="0"/>
    <x v="3"/>
    <n v="4.3"/>
    <n v="134"/>
    <s v="High"/>
  </r>
  <r>
    <x v="242"/>
    <s v="Deepak Gowda"/>
    <x v="0"/>
    <x v="2"/>
    <n v="6.26"/>
    <n v="59.5"/>
    <n v="59.1"/>
    <n v="0"/>
    <s v="Data Analysis, Java, HTML/CSS, React"/>
    <n v="2026"/>
    <x v="0"/>
    <x v="15"/>
    <n v="8.6"/>
    <n v="426"/>
    <s v="Low"/>
  </r>
  <r>
    <x v="243"/>
    <s v="Nikhil Hegde"/>
    <x v="2"/>
    <x v="4"/>
    <n v="5.81"/>
    <n v="83.2"/>
    <n v="91.7"/>
    <n v="1"/>
    <s v="Python, SQL, Data Analysis, HTML/CSS, JavaScript"/>
    <n v="2025"/>
    <x v="2"/>
    <x v="2"/>
    <m/>
    <n v="478"/>
    <s v="Low"/>
  </r>
  <r>
    <x v="244"/>
    <s v="Yash Shetty"/>
    <x v="2"/>
    <x v="2"/>
    <n v="6"/>
    <n v="89.2"/>
    <n v="90.2"/>
    <n v="1"/>
    <s v="HTML/CSS, JavaScript, SQL, Excel"/>
    <n v="2027"/>
    <x v="2"/>
    <x v="2"/>
    <m/>
    <n v="457"/>
    <s v="Low"/>
  </r>
  <r>
    <x v="245"/>
    <s v="Harsh Desai"/>
    <x v="1"/>
    <x v="6"/>
    <n v="7.23"/>
    <n v="73.400000000000006"/>
    <n v="78.599999999999994"/>
    <n v="1"/>
    <s v="HTML/CSS, Git"/>
    <n v="2026"/>
    <x v="2"/>
    <x v="2"/>
    <m/>
    <n v="309"/>
    <s v="Medium"/>
  </r>
  <r>
    <x v="246"/>
    <s v="Shreya Naik"/>
    <x v="3"/>
    <x v="4"/>
    <n v="8.4"/>
    <n v="88.5"/>
    <n v="55.2"/>
    <n v="0"/>
    <s v="Python, SQL"/>
    <n v="2026"/>
    <x v="1"/>
    <x v="2"/>
    <m/>
    <n v="156"/>
    <s v="High"/>
  </r>
  <r>
    <x v="247"/>
    <s v="Harsh Kumar"/>
    <x v="1"/>
    <x v="1"/>
    <n v="7.32"/>
    <n v="70.099999999999994"/>
    <n v="51.3"/>
    <n v="0"/>
    <s v="React, Git, SQL"/>
    <n v="2027"/>
    <x v="2"/>
    <x v="2"/>
    <m/>
    <n v="300"/>
    <s v="Medium"/>
  </r>
  <r>
    <x v="248"/>
    <s v="Kavya Desai"/>
    <x v="0"/>
    <x v="5"/>
    <n v="9.27"/>
    <n v="77"/>
    <n v="84.2"/>
    <n v="0"/>
    <s v="HTML/CSS, Data Analysis, SQL"/>
    <n v="2026"/>
    <x v="2"/>
    <x v="2"/>
    <m/>
    <n v="51"/>
    <s v="Very High"/>
  </r>
  <r>
    <x v="249"/>
    <s v="Divya Mishra"/>
    <x v="1"/>
    <x v="1"/>
    <n v="9.3699999999999992"/>
    <n v="80.7"/>
    <n v="50.5"/>
    <n v="2"/>
    <s v="React, Python, SQL, JavaScript, Java"/>
    <n v="2026"/>
    <x v="0"/>
    <x v="12"/>
    <n v="3.7"/>
    <n v="44"/>
    <s v="Very High"/>
  </r>
  <r>
    <x v="250"/>
    <s v="Sanjay Sharma"/>
    <x v="3"/>
    <x v="4"/>
    <n v="9.07"/>
    <n v="58.3"/>
    <n v="70.400000000000006"/>
    <n v="0"/>
    <s v="React, Git"/>
    <n v="2026"/>
    <x v="1"/>
    <x v="2"/>
    <m/>
    <n v="77"/>
    <s v="Very High"/>
  </r>
  <r>
    <x v="251"/>
    <s v="Vikas Patil"/>
    <x v="0"/>
    <x v="2"/>
    <n v="7.45"/>
    <n v="78.400000000000006"/>
    <n v="50"/>
    <n v="0"/>
    <s v="Data Analysis, Git, Java, HTML/CSS"/>
    <n v="2026"/>
    <x v="2"/>
    <x v="2"/>
    <m/>
    <n v="280"/>
    <s v="Medium"/>
  </r>
  <r>
    <x v="252"/>
    <s v="Varun Hegde"/>
    <x v="1"/>
    <x v="6"/>
    <n v="7.13"/>
    <n v="87.2"/>
    <n v="77.599999999999994"/>
    <n v="0"/>
    <s v="React, SQL, Data Analysis, JavaScript"/>
    <n v="2026"/>
    <x v="0"/>
    <x v="10"/>
    <n v="12.2"/>
    <n v="318"/>
    <s v="Medium"/>
  </r>
  <r>
    <x v="253"/>
    <s v="Vikas Nair"/>
    <x v="2"/>
    <x v="3"/>
    <n v="5.98"/>
    <n v="61.9"/>
    <n v="56.5"/>
    <n v="0"/>
    <s v="SQL, Power BI, Java, Git, Excel"/>
    <n v="2027"/>
    <x v="2"/>
    <x v="2"/>
    <m/>
    <n v="461"/>
    <s v="Low"/>
  </r>
  <r>
    <x v="254"/>
    <s v="Nisha Sharma"/>
    <x v="2"/>
    <x v="3"/>
    <n v="8.83"/>
    <n v="57"/>
    <n v="79.099999999999994"/>
    <n v="0"/>
    <s v="React, Git"/>
    <n v="2026"/>
    <x v="2"/>
    <x v="2"/>
    <m/>
    <n v="99"/>
    <s v="High"/>
  </r>
  <r>
    <x v="255"/>
    <s v="Neha Kumar"/>
    <x v="0"/>
    <x v="5"/>
    <n v="9.5399999999999991"/>
    <n v="90.2"/>
    <n v="72.2"/>
    <n v="0"/>
    <s v="Git, Python, Data Analysis"/>
    <n v="2025"/>
    <x v="1"/>
    <x v="2"/>
    <m/>
    <n v="30"/>
    <s v="Very High"/>
  </r>
  <r>
    <x v="256"/>
    <s v="Pooja Hegde"/>
    <x v="3"/>
    <x v="4"/>
    <n v="9.7200000000000006"/>
    <n v="93.5"/>
    <n v="85.1"/>
    <n v="0"/>
    <s v="Power BI, React, Python, SQL"/>
    <n v="2026"/>
    <x v="1"/>
    <x v="2"/>
    <m/>
    <n v="5"/>
    <s v="Very High"/>
  </r>
  <r>
    <x v="257"/>
    <s v="Nisha Pillai"/>
    <x v="2"/>
    <x v="4"/>
    <n v="6.6"/>
    <n v="81.2"/>
    <n v="63.4"/>
    <n v="0"/>
    <s v="Python, Data Analysis, HTML/CSS"/>
    <n v="2026"/>
    <x v="1"/>
    <x v="2"/>
    <m/>
    <n v="387"/>
    <s v="Low"/>
  </r>
  <r>
    <x v="258"/>
    <s v="Harsh Kulkarni"/>
    <x v="3"/>
    <x v="7"/>
    <n v="8.7899999999999991"/>
    <n v="90.3"/>
    <n v="63.2"/>
    <n v="1"/>
    <s v="Data Analysis, SQL"/>
    <n v="2025"/>
    <x v="0"/>
    <x v="7"/>
    <n v="3.8"/>
    <n v="108"/>
    <s v="High"/>
  </r>
  <r>
    <x v="259"/>
    <s v="Rahul Gupta"/>
    <x v="2"/>
    <x v="8"/>
    <n v="6.39"/>
    <n v="57.6"/>
    <n v="86.1"/>
    <n v="0"/>
    <s v="HTML/CSS, React"/>
    <n v="2025"/>
    <x v="1"/>
    <x v="2"/>
    <m/>
    <n v="417"/>
    <s v="Low"/>
  </r>
  <r>
    <x v="260"/>
    <s v="Karan Mishra"/>
    <x v="3"/>
    <x v="3"/>
    <n v="7.84"/>
    <n v="88.5"/>
    <n v="82"/>
    <n v="0"/>
    <s v="JavaScript, Git"/>
    <n v="2026"/>
    <x v="1"/>
    <x v="2"/>
    <m/>
    <n v="222"/>
    <s v="Medium"/>
  </r>
  <r>
    <x v="261"/>
    <s v="Akash Kulkarni"/>
    <x v="0"/>
    <x v="0"/>
    <n v="8.77"/>
    <n v="63.5"/>
    <n v="90"/>
    <n v="1"/>
    <s v="Java; HTML/CSS; Git; JavaScript; Data Analysis"/>
    <n v="2027"/>
    <x v="0"/>
    <x v="14"/>
    <n v="13.8"/>
    <n v="112"/>
    <s v="High"/>
  </r>
  <r>
    <x v="262"/>
    <s v="Aditi Shetty"/>
    <x v="1"/>
    <x v="1"/>
    <n v="7.86"/>
    <n v="70.8"/>
    <n v="69.7"/>
    <n v="0"/>
    <s v="Python; Power BI; Excel"/>
    <n v="2026"/>
    <x v="2"/>
    <x v="2"/>
    <m/>
    <n v="218"/>
    <s v="Medium"/>
  </r>
  <r>
    <x v="263"/>
    <s v="Meera Mishra"/>
    <x v="2"/>
    <x v="3"/>
    <n v="8.89"/>
    <n v="81.3"/>
    <n v="88.8"/>
    <n v="0"/>
    <s v="SQL, HTML/CSS, Java, Git"/>
    <n v="2026"/>
    <x v="2"/>
    <x v="2"/>
    <m/>
    <n v="92"/>
    <s v="High"/>
  </r>
  <r>
    <x v="264"/>
    <s v="Ananya Singh"/>
    <x v="3"/>
    <x v="3"/>
    <n v="7.2"/>
    <n v="92.1"/>
    <n v="80.5"/>
    <n v="0"/>
    <s v="Java, Data Analysis, React, Power BI"/>
    <n v="2026"/>
    <x v="2"/>
    <x v="2"/>
    <m/>
    <n v="315"/>
    <s v="Medium"/>
  </r>
  <r>
    <x v="265"/>
    <s v="Tanvi Singh"/>
    <x v="3"/>
    <x v="3"/>
    <n v="9.42"/>
    <n v="80.8"/>
    <n v="78.599999999999994"/>
    <n v="2"/>
    <s v="JavaScript, SQL, Git, Python"/>
    <n v="2026"/>
    <x v="0"/>
    <x v="3"/>
    <n v="8.8000000000000007"/>
    <n v="37"/>
    <s v="Very High"/>
  </r>
  <r>
    <x v="266"/>
    <s v="Shreya Nair"/>
    <x v="3"/>
    <x v="4"/>
    <n v="5.98"/>
    <n v="92.7"/>
    <n v="58.9"/>
    <n v="0"/>
    <s v="Python, Data Analysis"/>
    <n v="2026"/>
    <x v="2"/>
    <x v="2"/>
    <m/>
    <n v="461"/>
    <s v="Low"/>
  </r>
  <r>
    <x v="267"/>
    <s v="Harsh Mishra"/>
    <x v="3"/>
    <x v="3"/>
    <n v="6.62"/>
    <n v="89.8"/>
    <n v="90.4"/>
    <n v="0"/>
    <s v="SQL, Python, Excel, Java, HTML/CSS"/>
    <n v="2026"/>
    <x v="0"/>
    <x v="9"/>
    <n v="5.0999999999999996"/>
    <n v="384"/>
    <s v="Low"/>
  </r>
  <r>
    <x v="268"/>
    <s v="Tanvi Pillai"/>
    <x v="0"/>
    <x v="5"/>
    <n v="9.09"/>
    <n v="93.3"/>
    <n v="68.8"/>
    <n v="0"/>
    <s v="JavaScript, HTML/CSS, Excel, Java, Data Analysis"/>
    <n v="2025"/>
    <x v="0"/>
    <x v="11"/>
    <n v="9.9"/>
    <n v="75"/>
    <s v="Very High"/>
  </r>
  <r>
    <x v="269"/>
    <s v="Nisha Kulkarni"/>
    <x v="0"/>
    <x v="5"/>
    <n v="9.19"/>
    <n v="70"/>
    <n v="73.099999999999994"/>
    <n v="0"/>
    <s v="Git, SQL, Power BI, JavaScript"/>
    <n v="2027"/>
    <x v="0"/>
    <x v="8"/>
    <n v="10.3"/>
    <n v="65"/>
    <s v="Very High"/>
  </r>
  <r>
    <x v="270"/>
    <s v="Riya Jain"/>
    <x v="1"/>
    <x v="0"/>
    <n v="8.7899999999999991"/>
    <n v="88.5"/>
    <n v="89.1"/>
    <n v="0"/>
    <s v="Power BI, HTML/CSS, Excel"/>
    <n v="2026"/>
    <x v="0"/>
    <x v="4"/>
    <n v="3.7"/>
    <n v="108"/>
    <s v="High"/>
  </r>
  <r>
    <x v="271"/>
    <s v="Deepak Rao"/>
    <x v="3"/>
    <x v="7"/>
    <n v="7.99"/>
    <n v="58.6"/>
    <n v="59.7"/>
    <n v="0"/>
    <s v="Java, JavaScript, Python, SQL"/>
    <n v="2026"/>
    <x v="2"/>
    <x v="2"/>
    <m/>
    <n v="207"/>
    <s v="Medium"/>
  </r>
  <r>
    <x v="272"/>
    <s v="Karan Singh"/>
    <x v="1"/>
    <x v="1"/>
    <n v="9"/>
    <n v="90.8"/>
    <n v="89.2"/>
    <n v="2"/>
    <s v="Data Analysis, SQL, Power BI, HTML/CSS, Excel"/>
    <n v="2026"/>
    <x v="0"/>
    <x v="5"/>
    <n v="8.5"/>
    <n v="87"/>
    <s v="Very High"/>
  </r>
  <r>
    <x v="273"/>
    <s v="Riya Pillai"/>
    <x v="1"/>
    <x v="1"/>
    <n v="8.42"/>
    <n v="59.2"/>
    <n v="78.5"/>
    <n v="1"/>
    <s v="React, Git, HTML/CSS, Power BI"/>
    <n v="2026"/>
    <x v="2"/>
    <x v="2"/>
    <m/>
    <n v="151"/>
    <s v="High"/>
  </r>
  <r>
    <x v="274"/>
    <s v="Kavya Hegde"/>
    <x v="2"/>
    <x v="8"/>
    <n v="9.6300000000000008"/>
    <n v="62.1"/>
    <n v="64.400000000000006"/>
    <n v="1"/>
    <s v="Power BI, HTML/CSS, Python, Data Analysis, JavaScript"/>
    <n v="2026"/>
    <x v="2"/>
    <x v="2"/>
    <m/>
    <n v="15"/>
    <s v="Very High"/>
  </r>
  <r>
    <x v="275"/>
    <s v="Akash Sharma"/>
    <x v="3"/>
    <x v="7"/>
    <n v="6.24"/>
    <n v="82.1"/>
    <n v="53.8"/>
    <n v="0"/>
    <s v="Data Analysis, Java, Power BI"/>
    <n v="2026"/>
    <x v="1"/>
    <x v="2"/>
    <m/>
    <n v="429"/>
    <s v="Low"/>
  </r>
  <r>
    <x v="276"/>
    <s v="Riya Hegde"/>
    <x v="0"/>
    <x v="5"/>
    <n v="8.1199999999999992"/>
    <n v="87.3"/>
    <n v="59.8"/>
    <n v="0"/>
    <s v="Data Analysis, Git, React, HTML/CSS"/>
    <n v="2026"/>
    <x v="0"/>
    <x v="0"/>
    <n v="12.8"/>
    <n v="191"/>
    <s v="High"/>
  </r>
  <r>
    <x v="277"/>
    <s v="Arjun Gowda"/>
    <x v="1"/>
    <x v="6"/>
    <n v="7.8"/>
    <n v="58.8"/>
    <n v="66.7"/>
    <n v="0"/>
    <s v="Git, Python, Data Analysis"/>
    <n v="2026"/>
    <x v="0"/>
    <x v="5"/>
    <n v="10.3"/>
    <n v="226"/>
    <s v="Medium"/>
  </r>
  <r>
    <x v="278"/>
    <s v="Neha Patil"/>
    <x v="2"/>
    <x v="3"/>
    <n v="6.68"/>
    <n v="75.5"/>
    <n v="52.9"/>
    <n v="0"/>
    <s v="Java, Data Analysis"/>
    <n v="2027"/>
    <x v="0"/>
    <x v="13"/>
    <n v="13.1"/>
    <n v="376"/>
    <s v="Low"/>
  </r>
  <r>
    <x v="279"/>
    <s v="Neha Reddy"/>
    <x v="0"/>
    <x v="5"/>
    <n v="7.1"/>
    <n v="84.6"/>
    <n v="74"/>
    <n v="1"/>
    <s v="Git, Data Analysis, Python, Java"/>
    <n v="2026"/>
    <x v="1"/>
    <x v="2"/>
    <m/>
    <n v="323"/>
    <s v="Medium"/>
  </r>
  <r>
    <x v="280"/>
    <s v="Sanjay Joshi"/>
    <x v="2"/>
    <x v="2"/>
    <n v="9.69"/>
    <n v="64.400000000000006"/>
    <n v="68.7"/>
    <n v="1"/>
    <s v="React, Git, Excel, Power BI"/>
    <n v="2027"/>
    <x v="0"/>
    <x v="0"/>
    <n v="4"/>
    <n v="10"/>
    <s v="Very High"/>
  </r>
  <r>
    <x v="281"/>
    <s v="Riya Kulkarni"/>
    <x v="1"/>
    <x v="0"/>
    <n v="6.55"/>
    <n v="70.2"/>
    <n v="83"/>
    <n v="0"/>
    <s v="JavaScript, HTML/CSS, SQL"/>
    <n v="2026"/>
    <x v="2"/>
    <x v="2"/>
    <m/>
    <n v="398"/>
    <s v="Low"/>
  </r>
  <r>
    <x v="282"/>
    <s v="Manoj Jain"/>
    <x v="3"/>
    <x v="3"/>
    <n v="6.77"/>
    <n v="60.4"/>
    <n v="77.2"/>
    <n v="0"/>
    <s v="Git; Python"/>
    <n v="2025"/>
    <x v="0"/>
    <x v="14"/>
    <n v="8.8000000000000007"/>
    <n v="367"/>
    <s v="Low"/>
  </r>
  <r>
    <x v="283"/>
    <s v="Rohan Verma"/>
    <x v="0"/>
    <x v="5"/>
    <n v="8.7100000000000009"/>
    <n v="89.5"/>
    <n v="93.6"/>
    <n v="0"/>
    <s v="React, Python, Java, JavaScript, Git"/>
    <n v="2026"/>
    <x v="2"/>
    <x v="2"/>
    <m/>
    <n v="121"/>
    <s v="High"/>
  </r>
  <r>
    <x v="284"/>
    <s v="Shreya Bhat"/>
    <x v="2"/>
    <x v="4"/>
    <n v="8.6999999999999993"/>
    <n v="69.400000000000006"/>
    <n v="70.900000000000006"/>
    <n v="0"/>
    <s v="JavaScript, Git, Python"/>
    <n v="2025"/>
    <x v="0"/>
    <x v="8"/>
    <n v="13"/>
    <n v="123"/>
    <s v="High"/>
  </r>
  <r>
    <x v="285"/>
    <s v="Vikas Sharma"/>
    <x v="1"/>
    <x v="1"/>
    <n v="6.19"/>
    <n v="75"/>
    <n v="78.3"/>
    <n v="0"/>
    <s v="SQL, React"/>
    <n v="2026"/>
    <x v="1"/>
    <x v="2"/>
    <m/>
    <n v="434"/>
    <s v="Low"/>
  </r>
  <r>
    <x v="286"/>
    <s v="Ishita Jain"/>
    <x v="3"/>
    <x v="7"/>
    <n v="7.48"/>
    <n v="91.7"/>
    <n v="82.1"/>
    <n v="0"/>
    <s v="JavaScript, HTML/CSS, SQL, Java, React"/>
    <n v="2026"/>
    <x v="2"/>
    <x v="2"/>
    <m/>
    <n v="278"/>
    <s v="Medium"/>
  </r>
  <r>
    <x v="287"/>
    <s v="Kavya Rao"/>
    <x v="3"/>
    <x v="4"/>
    <n v="6.56"/>
    <n v="84.8"/>
    <n v="86.3"/>
    <n v="0"/>
    <s v="Data Analysis, Excel"/>
    <n v="2026"/>
    <x v="0"/>
    <x v="1"/>
    <n v="6.6"/>
    <n v="394"/>
    <s v="Low"/>
  </r>
  <r>
    <x v="288"/>
    <s v="Nisha Kulkarni"/>
    <x v="1"/>
    <x v="6"/>
    <n v="8.41"/>
    <n v="65.7"/>
    <n v="89.3"/>
    <n v="0"/>
    <s v="Git, Power BI, JavaScript, React"/>
    <n v="2026"/>
    <x v="1"/>
    <x v="2"/>
    <m/>
    <n v="153"/>
    <s v="High"/>
  </r>
  <r>
    <x v="289"/>
    <s v="Deepak Verma"/>
    <x v="2"/>
    <x v="2"/>
    <n v="6.82"/>
    <n v="67.900000000000006"/>
    <n v="65.8"/>
    <n v="0"/>
    <s v="SQL, Java, React"/>
    <n v="2026"/>
    <x v="2"/>
    <x v="2"/>
    <m/>
    <n v="359"/>
    <s v="Low"/>
  </r>
  <r>
    <x v="290"/>
    <s v="Rohan Patil"/>
    <x v="3"/>
    <x v="4"/>
    <n v="9"/>
    <n v="80.8"/>
    <n v="81.5"/>
    <n v="0"/>
    <s v="Excel, SQL, Python, Java, Power BI"/>
    <n v="2026"/>
    <x v="0"/>
    <x v="0"/>
    <n v="7.2"/>
    <n v="87"/>
    <s v="Very High"/>
  </r>
  <r>
    <x v="291"/>
    <s v="Ishita Nair"/>
    <x v="3"/>
    <x v="4"/>
    <n v="8.26"/>
    <n v="76.900000000000006"/>
    <n v="72.2"/>
    <n v="0"/>
    <s v="React, Git, Excel"/>
    <n v="2026"/>
    <x v="1"/>
    <x v="2"/>
    <m/>
    <n v="174"/>
    <s v="High"/>
  </r>
  <r>
    <x v="292"/>
    <s v="Shreya Desai"/>
    <x v="0"/>
    <x v="5"/>
    <n v="7.84"/>
    <n v="84.3"/>
    <n v="78.3"/>
    <n v="0"/>
    <s v="Java, Excel, Python, Data Analysis"/>
    <n v="2027"/>
    <x v="2"/>
    <x v="2"/>
    <m/>
    <n v="222"/>
    <s v="Medium"/>
  </r>
  <r>
    <x v="293"/>
    <s v="Nikhil Desai"/>
    <x v="3"/>
    <x v="7"/>
    <n v="6.6"/>
    <n v="55.6"/>
    <n v="82.4"/>
    <n v="1"/>
    <s v="Data Analysis, HTML/CSS, Git, JavaScript"/>
    <n v="2026"/>
    <x v="2"/>
    <x v="2"/>
    <m/>
    <n v="387"/>
    <s v="Low"/>
  </r>
  <r>
    <x v="294"/>
    <s v="Nikhil Desai"/>
    <x v="0"/>
    <x v="2"/>
    <n v="6.5"/>
    <n v="76.3"/>
    <n v="75.7"/>
    <n v="0"/>
    <s v="SQL, Data Analysis, Power BI, React"/>
    <n v="2026"/>
    <x v="1"/>
    <x v="2"/>
    <m/>
    <n v="403"/>
    <s v="Low"/>
  </r>
  <r>
    <x v="295"/>
    <s v="Shreya Gupta"/>
    <x v="3"/>
    <x v="3"/>
    <n v="8.83"/>
    <n v="95.4"/>
    <n v="71.099999999999994"/>
    <n v="0"/>
    <s v="React, SQL"/>
    <n v="2026"/>
    <x v="0"/>
    <x v="1"/>
    <n v="13.9"/>
    <n v="99"/>
    <s v="High"/>
  </r>
  <r>
    <x v="296"/>
    <s v="Rahul Kulkarni"/>
    <x v="2"/>
    <x v="2"/>
    <n v="9.6199999999999992"/>
    <n v="76.7"/>
    <n v="50.4"/>
    <n v="1"/>
    <s v="Power BI, SQL, JavaScript"/>
    <n v="2026"/>
    <x v="2"/>
    <x v="2"/>
    <m/>
    <n v="17"/>
    <s v="Very High"/>
  </r>
  <r>
    <x v="297"/>
    <s v="Divya Nair"/>
    <x v="3"/>
    <x v="4"/>
    <n v="7.21"/>
    <n v="92.6"/>
    <n v="62.4"/>
    <n v="2"/>
    <s v="React, Java, Data Analysis"/>
    <n v="2026"/>
    <x v="2"/>
    <x v="2"/>
    <m/>
    <n v="314"/>
    <s v="Medium"/>
  </r>
  <r>
    <x v="298"/>
    <s v="Neha Pillai"/>
    <x v="1"/>
    <x v="1"/>
    <n v="7.22"/>
    <n v="87.7"/>
    <n v="55.5"/>
    <n v="0"/>
    <s v="Git, Excel, Data Analysis, JavaScript, Java"/>
    <n v="2026"/>
    <x v="0"/>
    <x v="3"/>
    <n v="13.8"/>
    <n v="312"/>
    <s v="Medium"/>
  </r>
  <r>
    <x v="299"/>
    <s v="Kavya Desai"/>
    <x v="2"/>
    <x v="2"/>
    <n v="6.53"/>
    <n v="87.1"/>
    <n v="73.5"/>
    <n v="0"/>
    <s v="Excel, Data Analysis, JavaScript"/>
    <n v="2026"/>
    <x v="1"/>
    <x v="2"/>
    <m/>
    <n v="401"/>
    <s v="Low"/>
  </r>
  <r>
    <x v="300"/>
    <s v="Bhavana Mishra"/>
    <x v="1"/>
    <x v="6"/>
    <n v="9.7100000000000009"/>
    <n v="84.3"/>
    <n v="71.2"/>
    <n v="0"/>
    <s v="Java, JavaScript"/>
    <n v="2026"/>
    <x v="0"/>
    <x v="5"/>
    <n v="12.5"/>
    <n v="7"/>
    <s v="Very High"/>
  </r>
  <r>
    <x v="301"/>
    <s v="Shreya Gupta"/>
    <x v="2"/>
    <x v="4"/>
    <n v="6.88"/>
    <n v="95.3"/>
    <n v="65.8"/>
    <n v="0"/>
    <s v="Java, JavaScript, HTML/CSS, Python, Git"/>
    <n v="2026"/>
    <x v="0"/>
    <x v="14"/>
    <n v="13.8"/>
    <n v="349"/>
    <s v="Low"/>
  </r>
  <r>
    <x v="302"/>
    <s v="Pooja Mishra"/>
    <x v="0"/>
    <x v="5"/>
    <n v="6.88"/>
    <n v="64.900000000000006"/>
    <n v="69.900000000000006"/>
    <n v="0"/>
    <s v="Python, React, Excel"/>
    <n v="2026"/>
    <x v="1"/>
    <x v="2"/>
    <m/>
    <n v="349"/>
    <s v="Low"/>
  </r>
  <r>
    <x v="303"/>
    <s v="Suraj Kumar"/>
    <x v="2"/>
    <x v="2"/>
    <n v="7"/>
    <n v="78.599999999999994"/>
    <n v="76.099999999999994"/>
    <n v="0"/>
    <s v="Excel, Java, Power BI"/>
    <n v="2026"/>
    <x v="2"/>
    <x v="2"/>
    <m/>
    <n v="338"/>
    <s v="Medium"/>
  </r>
  <r>
    <x v="304"/>
    <s v="Kavya Kumar"/>
    <x v="2"/>
    <x v="8"/>
    <n v="7.24"/>
    <n v="78.400000000000006"/>
    <n v="87.3"/>
    <n v="0"/>
    <s v="SQL, HTML/CSS, Java, Power BI, JavaScript"/>
    <n v="2026"/>
    <x v="2"/>
    <x v="2"/>
    <m/>
    <n v="308"/>
    <s v="Medium"/>
  </r>
  <r>
    <x v="305"/>
    <s v="Akash Kulkarni"/>
    <x v="3"/>
    <x v="7"/>
    <n v="7.59"/>
    <n v="58.3"/>
    <n v="78.2"/>
    <n v="0"/>
    <s v="Python, HTML/CSS, JavaScript"/>
    <n v="2026"/>
    <x v="2"/>
    <x v="2"/>
    <m/>
    <n v="262"/>
    <s v="Medium"/>
  </r>
  <r>
    <x v="306"/>
    <s v="Bhavana Sharma"/>
    <x v="2"/>
    <x v="4"/>
    <n v="7.05"/>
    <n v="82.4"/>
    <n v="82.7"/>
    <n v="0"/>
    <s v="Power BI, React, HTML/CSS, Data Analysis, Git"/>
    <n v="2026"/>
    <x v="2"/>
    <x v="2"/>
    <m/>
    <n v="332"/>
    <s v="Medium"/>
  </r>
  <r>
    <x v="307"/>
    <s v="Rahul Patil"/>
    <x v="1"/>
    <x v="1"/>
    <n v="6.74"/>
    <n v="65.599999999999994"/>
    <n v="84.2"/>
    <n v="0"/>
    <s v="Python, JavaScript, SQL"/>
    <n v="2025"/>
    <x v="2"/>
    <x v="2"/>
    <m/>
    <n v="370"/>
    <s v="Low"/>
  </r>
  <r>
    <x v="308"/>
    <s v="Sanjay Shetty"/>
    <x v="0"/>
    <x v="2"/>
    <n v="7.9"/>
    <n v="96.8"/>
    <n v="54.8"/>
    <n v="0"/>
    <s v="JavaScript, Power BI"/>
    <n v="2026"/>
    <x v="2"/>
    <x v="2"/>
    <m/>
    <n v="214"/>
    <s v="Medium"/>
  </r>
  <r>
    <x v="309"/>
    <s v="Rahul Kulkarni"/>
    <x v="1"/>
    <x v="1"/>
    <n v="9.15"/>
    <n v="56.2"/>
    <n v="80.5"/>
    <n v="1"/>
    <s v="React, Git, Power BI, Data Analysis"/>
    <n v="2026"/>
    <x v="1"/>
    <x v="2"/>
    <m/>
    <n v="68"/>
    <s v="Very High"/>
  </r>
  <r>
    <x v="310"/>
    <s v="Ishita Sharma"/>
    <x v="3"/>
    <x v="7"/>
    <n v="8.8000000000000007"/>
    <n v="91.8"/>
    <n v="70"/>
    <n v="0"/>
    <s v="HTML/CSS, React, Java, JavaScript"/>
    <n v="2025"/>
    <x v="0"/>
    <x v="6"/>
    <n v="6"/>
    <n v="106"/>
    <s v="High"/>
  </r>
  <r>
    <x v="311"/>
    <s v="Rohan Gupta"/>
    <x v="0"/>
    <x v="5"/>
    <n v="9.06"/>
    <n v="90.6"/>
    <n v="65.8"/>
    <n v="0"/>
    <s v="React, Git"/>
    <n v="2026"/>
    <x v="2"/>
    <x v="2"/>
    <m/>
    <n v="79"/>
    <s v="Very High"/>
  </r>
  <r>
    <x v="312"/>
    <s v="Varun Jain"/>
    <x v="0"/>
    <x v="5"/>
    <n v="7.29"/>
    <n v="72.3"/>
    <n v="75.8"/>
    <n v="0"/>
    <s v="JavaScript, Git, Java"/>
    <n v="2026"/>
    <x v="0"/>
    <x v="0"/>
    <n v="8.8000000000000007"/>
    <n v="303"/>
    <s v="Medium"/>
  </r>
  <r>
    <x v="313"/>
    <s v="Nikhil Joshi"/>
    <x v="2"/>
    <x v="8"/>
    <n v="8.39"/>
    <n v="77.3"/>
    <n v="62.4"/>
    <n v="0"/>
    <s v="Python, Git"/>
    <n v="2026"/>
    <x v="1"/>
    <x v="2"/>
    <m/>
    <n v="158"/>
    <s v="High"/>
  </r>
  <r>
    <x v="314"/>
    <s v="Divya Reddy"/>
    <x v="3"/>
    <x v="3"/>
    <n v="7.08"/>
    <n v="61.4"/>
    <n v="94.6"/>
    <n v="0"/>
    <s v="Power BI, Git"/>
    <n v="2025"/>
    <x v="2"/>
    <x v="2"/>
    <m/>
    <n v="326"/>
    <s v="Medium"/>
  </r>
  <r>
    <x v="315"/>
    <s v="Harsh Desai"/>
    <x v="1"/>
    <x v="0"/>
    <n v="7.77"/>
    <n v="69.400000000000006"/>
    <n v="64.3"/>
    <n v="1"/>
    <s v="React, Excel, HTML/CSS, Data Analysis"/>
    <n v="2026"/>
    <x v="2"/>
    <x v="2"/>
    <m/>
    <n v="233"/>
    <s v="Medium"/>
  </r>
  <r>
    <x v="316"/>
    <s v="Suraj Patil"/>
    <x v="0"/>
    <x v="5"/>
    <n v="7.68"/>
    <n v="63.1"/>
    <n v="88.7"/>
    <n v="1"/>
    <s v="SQL, Java"/>
    <n v="2026"/>
    <x v="2"/>
    <x v="2"/>
    <m/>
    <n v="246"/>
    <s v="Medium"/>
  </r>
  <r>
    <x v="317"/>
    <s v="Ananya Joshi"/>
    <x v="1"/>
    <x v="6"/>
    <n v="8.74"/>
    <n v="58.9"/>
    <n v="80.599999999999994"/>
    <n v="0"/>
    <s v="Power BI, HTML/CSS, Python, Data Analysis, JavaScript"/>
    <n v="2025"/>
    <x v="1"/>
    <x v="2"/>
    <m/>
    <n v="117"/>
    <s v="High"/>
  </r>
  <r>
    <x v="318"/>
    <s v="Manoj Gupta"/>
    <x v="3"/>
    <x v="7"/>
    <n v="7"/>
    <n v="70.099999999999994"/>
    <n v="52.4"/>
    <n v="0"/>
    <s v="Java, JavaScript"/>
    <n v="2026"/>
    <x v="0"/>
    <x v="12"/>
    <n v="9.5"/>
    <n v="338"/>
    <s v="Medium"/>
  </r>
  <r>
    <x v="319"/>
    <s v="Pranav Patil"/>
    <x v="0"/>
    <x v="0"/>
    <n v="8.1199999999999992"/>
    <n v="84"/>
    <n v="81.7"/>
    <n v="0"/>
    <s v="Java, Python"/>
    <n v="2026"/>
    <x v="2"/>
    <x v="2"/>
    <m/>
    <n v="191"/>
    <s v="High"/>
  </r>
  <r>
    <x v="320"/>
    <s v="Manoj Singh"/>
    <x v="0"/>
    <x v="2"/>
    <n v="8.3800000000000008"/>
    <n v="84.5"/>
    <n v="86.4"/>
    <n v="0"/>
    <s v="HTML/CSS, Data Analysis, Git"/>
    <n v="2026"/>
    <x v="0"/>
    <x v="0"/>
    <n v="3.4"/>
    <n v="160"/>
    <s v="High"/>
  </r>
  <r>
    <x v="321"/>
    <s v="Pranav Mishra"/>
    <x v="1"/>
    <x v="6"/>
    <n v="9.39"/>
    <n v="75.400000000000006"/>
    <n v="70.099999999999994"/>
    <n v="0"/>
    <s v="Java, Python, HTML/CSS, Data Analysis, React"/>
    <n v="2026"/>
    <x v="1"/>
    <x v="2"/>
    <m/>
    <n v="40"/>
    <s v="Very High"/>
  </r>
  <r>
    <x v="322"/>
    <s v="Tanvi Jain"/>
    <x v="1"/>
    <x v="0"/>
    <n v="7.92"/>
    <n v="73.900000000000006"/>
    <n v="87.7"/>
    <n v="0"/>
    <s v="Excel, Data Analysis, JavaScript, HTML/CSS, SQL"/>
    <n v="2027"/>
    <x v="2"/>
    <x v="2"/>
    <m/>
    <n v="212"/>
    <s v="Medium"/>
  </r>
  <r>
    <x v="323"/>
    <s v="Aditi Shetty"/>
    <x v="1"/>
    <x v="6"/>
    <n v="8.68"/>
    <n v="82.6"/>
    <n v="74.8"/>
    <n v="0"/>
    <s v="Data Analysis, Python, Power BI, Git, Java"/>
    <n v="2026"/>
    <x v="0"/>
    <x v="15"/>
    <n v="10.3"/>
    <n v="126"/>
    <s v="High"/>
  </r>
  <r>
    <x v="324"/>
    <s v="Pranav Nair"/>
    <x v="1"/>
    <x v="0"/>
    <n v="6.61"/>
    <n v="75.400000000000006"/>
    <n v="54.5"/>
    <n v="0"/>
    <s v="React, Data Analysis, Power BI, Excel, Python"/>
    <n v="2026"/>
    <x v="2"/>
    <x v="2"/>
    <m/>
    <n v="386"/>
    <s v="Low"/>
  </r>
  <r>
    <x v="325"/>
    <s v="Deepak Verma"/>
    <x v="3"/>
    <x v="3"/>
    <n v="7.67"/>
    <n v="81.8"/>
    <n v="66.599999999999994"/>
    <n v="0"/>
    <s v="HTML/CSS, Excel, Power BI, React, Data Analysis"/>
    <n v="2026"/>
    <x v="2"/>
    <x v="2"/>
    <m/>
    <n v="248"/>
    <s v="Medium"/>
  </r>
  <r>
    <x v="326"/>
    <s v="Kavya Naik"/>
    <x v="0"/>
    <x v="0"/>
    <n v="8.6999999999999993"/>
    <n v="77.3"/>
    <n v="58.7"/>
    <n v="0"/>
    <s v="Git, Python, JavaScript"/>
    <n v="2026"/>
    <x v="1"/>
    <x v="2"/>
    <m/>
    <n v="123"/>
    <s v="High"/>
  </r>
  <r>
    <x v="327"/>
    <s v="Yash Singh"/>
    <x v="3"/>
    <x v="3"/>
    <n v="6.47"/>
    <n v="62.6"/>
    <n v="68.5"/>
    <n v="0"/>
    <s v="Data Analysis, React, HTML/CSS"/>
    <n v="2027"/>
    <x v="2"/>
    <x v="2"/>
    <m/>
    <n v="410"/>
    <s v="Low"/>
  </r>
  <r>
    <x v="328"/>
    <s v="Aarav Patil"/>
    <x v="3"/>
    <x v="7"/>
    <n v="7.52"/>
    <n v="85.5"/>
    <n v="78"/>
    <n v="0"/>
    <s v="JavaScript, Data Analysis, Power BI"/>
    <n v="2026"/>
    <x v="2"/>
    <x v="2"/>
    <m/>
    <n v="274"/>
    <s v="Medium"/>
  </r>
  <r>
    <x v="329"/>
    <s v="Pranav Mishra"/>
    <x v="2"/>
    <x v="3"/>
    <n v="7.87"/>
    <n v="96.7"/>
    <n v="63.9"/>
    <n v="0"/>
    <s v="Java, HTML/CSS, Excel"/>
    <n v="2026"/>
    <x v="2"/>
    <x v="2"/>
    <m/>
    <n v="216"/>
    <s v="Medium"/>
  </r>
  <r>
    <x v="330"/>
    <s v="Suraj Reddy"/>
    <x v="1"/>
    <x v="0"/>
    <n v="5.95"/>
    <n v="69.900000000000006"/>
    <n v="56.4"/>
    <n v="0"/>
    <s v="Java, Power BI, Data Analysis"/>
    <n v="2025"/>
    <x v="2"/>
    <x v="2"/>
    <m/>
    <n v="465"/>
    <s v="Low"/>
  </r>
  <r>
    <x v="331"/>
    <s v="Akash Patil"/>
    <x v="2"/>
    <x v="2"/>
    <n v="6.49"/>
    <n v="89.7"/>
    <n v="81.7"/>
    <n v="0"/>
    <s v="Git, Power BI"/>
    <n v="2025"/>
    <x v="2"/>
    <x v="2"/>
    <m/>
    <n v="406"/>
    <s v="Low"/>
  </r>
  <r>
    <x v="332"/>
    <s v="Arjun Kumar"/>
    <x v="2"/>
    <x v="8"/>
    <n v="9.32"/>
    <n v="73.2"/>
    <n v="92.8"/>
    <n v="0"/>
    <s v="Git, Excel, JavaScript"/>
    <n v="2025"/>
    <x v="0"/>
    <x v="10"/>
    <n v="9"/>
    <n v="47"/>
    <s v="Very High"/>
  </r>
  <r>
    <x v="333"/>
    <s v="Karan Reddy"/>
    <x v="1"/>
    <x v="0"/>
    <n v="6"/>
    <n v="85.7"/>
    <n v="68.099999999999994"/>
    <n v="0"/>
    <s v="Java, JavaScript"/>
    <n v="2026"/>
    <x v="2"/>
    <x v="2"/>
    <m/>
    <n v="457"/>
    <s v="Low"/>
  </r>
  <r>
    <x v="334"/>
    <s v="Rahul Jain"/>
    <x v="3"/>
    <x v="7"/>
    <n v="8.7799999999999994"/>
    <n v="78"/>
    <n v="62.1"/>
    <n v="0"/>
    <s v="Python, Git, React, Power BI, SQL"/>
    <n v="2026"/>
    <x v="2"/>
    <x v="2"/>
    <m/>
    <n v="111"/>
    <s v="High"/>
  </r>
  <r>
    <x v="335"/>
    <s v="Kavya Jain"/>
    <x v="1"/>
    <x v="0"/>
    <n v="6.09"/>
    <n v="87.6"/>
    <n v="64.900000000000006"/>
    <n v="2"/>
    <s v="SQL, JavaScript"/>
    <n v="2026"/>
    <x v="2"/>
    <x v="2"/>
    <m/>
    <n v="443"/>
    <s v="Low"/>
  </r>
  <r>
    <x v="336"/>
    <s v="Yash Reddy"/>
    <x v="0"/>
    <x v="2"/>
    <n v="6.48"/>
    <n v="69.7"/>
    <n v="87.8"/>
    <n v="1"/>
    <s v="React, Excel, Java"/>
    <n v="2026"/>
    <x v="1"/>
    <x v="2"/>
    <m/>
    <n v="408"/>
    <s v="Low"/>
  </r>
  <r>
    <x v="337"/>
    <s v="Deepak Nair"/>
    <x v="0"/>
    <x v="5"/>
    <n v="6.02"/>
    <n v="94.9"/>
    <n v="92.6"/>
    <n v="1"/>
    <s v="Excel, HTML/CSS, SQL, Python"/>
    <n v="2026"/>
    <x v="0"/>
    <x v="0"/>
    <n v="11.2"/>
    <n v="453"/>
    <s v="Low"/>
  </r>
  <r>
    <x v="338"/>
    <s v="Aditi Naik"/>
    <x v="2"/>
    <x v="2"/>
    <n v="7.76"/>
    <n v="96.7"/>
    <n v="82"/>
    <n v="0"/>
    <s v="Git, Data Analysis, Excel, Python, SQL"/>
    <n v="2025"/>
    <x v="0"/>
    <x v="11"/>
    <n v="9.9"/>
    <n v="235"/>
    <s v="Medium"/>
  </r>
  <r>
    <x v="339"/>
    <s v="Manoj Verma"/>
    <x v="0"/>
    <x v="0"/>
    <n v="7.35"/>
    <n v="66.400000000000006"/>
    <n v="89.2"/>
    <n v="0"/>
    <s v="Excel, Power BI"/>
    <n v="2027"/>
    <x v="2"/>
    <x v="2"/>
    <m/>
    <n v="294"/>
    <s v="Medium"/>
  </r>
  <r>
    <x v="340"/>
    <s v="Bhavana Sharma"/>
    <x v="0"/>
    <x v="2"/>
    <n v="7.74"/>
    <n v="80.099999999999994"/>
    <n v="54"/>
    <n v="0"/>
    <s v="Data Analysis, Excel, Git, SQL, Power BI"/>
    <n v="2026"/>
    <x v="1"/>
    <x v="2"/>
    <m/>
    <n v="242"/>
    <s v="Medium"/>
  </r>
  <r>
    <x v="341"/>
    <s v="Divya Shetty"/>
    <x v="2"/>
    <x v="8"/>
    <n v="7.22"/>
    <n v="67.7"/>
    <n v="95.8"/>
    <n v="2"/>
    <s v="Excel, Power BI, JavaScript, React"/>
    <n v="2027"/>
    <x v="2"/>
    <x v="2"/>
    <m/>
    <n v="312"/>
    <s v="Medium"/>
  </r>
  <r>
    <x v="342"/>
    <s v="Rahul Shetty"/>
    <x v="2"/>
    <x v="2"/>
    <n v="8.43"/>
    <n v="58.7"/>
    <n v="67.599999999999994"/>
    <n v="2"/>
    <s v="JavaScript, Java, Python"/>
    <n v="2026"/>
    <x v="0"/>
    <x v="5"/>
    <n v="6.8"/>
    <n v="150"/>
    <s v="High"/>
  </r>
  <r>
    <x v="343"/>
    <s v="Karan Reddy"/>
    <x v="1"/>
    <x v="1"/>
    <n v="6.35"/>
    <n v="77.7"/>
    <n v="86.8"/>
    <n v="1"/>
    <s v="Data Analysis, Python, JavaScript, React"/>
    <n v="2025"/>
    <x v="2"/>
    <x v="2"/>
    <m/>
    <n v="421"/>
    <s v="Low"/>
  </r>
  <r>
    <x v="344"/>
    <s v="Arjun Kulkarni"/>
    <x v="0"/>
    <x v="0"/>
    <n v="7.07"/>
    <n v="91.9"/>
    <n v="83.4"/>
    <n v="0"/>
    <s v="JavaScript, Power BI, React, HTML/CSS, Git"/>
    <n v="2027"/>
    <x v="0"/>
    <x v="1"/>
    <n v="5.2"/>
    <n v="328"/>
    <s v="Medium"/>
  </r>
  <r>
    <x v="345"/>
    <s v="Nisha Singh"/>
    <x v="0"/>
    <x v="5"/>
    <n v="8.27"/>
    <n v="80.400000000000006"/>
    <n v="78.2"/>
    <n v="0"/>
    <s v="Excel, HTML/CSS, SQL"/>
    <n v="2026"/>
    <x v="0"/>
    <x v="15"/>
    <n v="12.3"/>
    <n v="172"/>
    <s v="High"/>
  </r>
  <r>
    <x v="346"/>
    <s v="Tanvi Nair"/>
    <x v="1"/>
    <x v="6"/>
    <n v="7.77"/>
    <n v="60.8"/>
    <n v="58.9"/>
    <n v="0"/>
    <s v="Power BI, JavaScript"/>
    <n v="2026"/>
    <x v="2"/>
    <x v="2"/>
    <m/>
    <n v="233"/>
    <s v="Medium"/>
  </r>
  <r>
    <x v="347"/>
    <s v="Karan Desai"/>
    <x v="0"/>
    <x v="0"/>
    <n v="9.51"/>
    <n v="96.4"/>
    <n v="89.9"/>
    <n v="0"/>
    <s v="React, Java, JavaScript, Data Analysis"/>
    <n v="2026"/>
    <x v="0"/>
    <x v="8"/>
    <n v="7.3"/>
    <n v="32"/>
    <s v="Very High"/>
  </r>
  <r>
    <x v="348"/>
    <s v="Sanjay Patil"/>
    <x v="0"/>
    <x v="5"/>
    <n v="6.24"/>
    <n v="74.2"/>
    <n v="90.4"/>
    <n v="1"/>
    <s v="Data Analysis, Git, JavaScript"/>
    <n v="2027"/>
    <x v="0"/>
    <x v="6"/>
    <n v="8.8000000000000007"/>
    <n v="429"/>
    <s v="Low"/>
  </r>
  <r>
    <x v="349"/>
    <s v="Vikas Naik"/>
    <x v="1"/>
    <x v="6"/>
    <n v="7.56"/>
    <n v="92.1"/>
    <n v="85.6"/>
    <n v="0"/>
    <s v="JavaScript, Power BI, Excel"/>
    <n v="2026"/>
    <x v="2"/>
    <x v="2"/>
    <m/>
    <n v="267"/>
    <s v="Medium"/>
  </r>
  <r>
    <x v="350"/>
    <s v="Neha Nair"/>
    <x v="0"/>
    <x v="5"/>
    <n v="7.8"/>
    <n v="62.6"/>
    <n v="76.900000000000006"/>
    <n v="1"/>
    <s v="JavaScript, Git, HTML/CSS"/>
    <n v="2026"/>
    <x v="0"/>
    <x v="5"/>
    <n v="12.9"/>
    <n v="226"/>
    <s v="Medium"/>
  </r>
  <r>
    <x v="351"/>
    <s v="Pooja Desai"/>
    <x v="3"/>
    <x v="3"/>
    <n v="6.8"/>
    <n v="84.1"/>
    <n v="91.7"/>
    <n v="1"/>
    <s v="SQL, Git"/>
    <n v="2026"/>
    <x v="2"/>
    <x v="2"/>
    <m/>
    <n v="362"/>
    <s v="Low"/>
  </r>
  <r>
    <x v="352"/>
    <s v="Tanvi Naik"/>
    <x v="1"/>
    <x v="6"/>
    <n v="8"/>
    <n v="56.8"/>
    <n v="57.9"/>
    <n v="0"/>
    <s v="Python, Git, Data Analysis"/>
    <n v="2026"/>
    <x v="0"/>
    <x v="12"/>
    <n v="6.5"/>
    <n v="206"/>
    <s v="High"/>
  </r>
  <r>
    <x v="353"/>
    <s v="Neha Gowda"/>
    <x v="2"/>
    <x v="4"/>
    <n v="6.27"/>
    <n v="60.5"/>
    <n v="59.3"/>
    <n v="0"/>
    <s v="Excel, React, Data Analysis, JavaScript"/>
    <n v="2026"/>
    <x v="1"/>
    <x v="2"/>
    <m/>
    <n v="425"/>
    <s v="Low"/>
  </r>
  <r>
    <x v="354"/>
    <s v="Aditi Kulkarni"/>
    <x v="1"/>
    <x v="0"/>
    <n v="8.16"/>
    <n v="75"/>
    <n v="68.900000000000006"/>
    <n v="0"/>
    <s v="Java, Data Analysis"/>
    <n v="2026"/>
    <x v="2"/>
    <x v="2"/>
    <m/>
    <n v="186"/>
    <s v="High"/>
  </r>
  <r>
    <x v="355"/>
    <s v="Shreya Jain"/>
    <x v="1"/>
    <x v="0"/>
    <n v="8.41"/>
    <n v="56.5"/>
    <n v="89.3"/>
    <n v="0"/>
    <s v="HTML/CSS, SQL, Excel, React"/>
    <n v="2026"/>
    <x v="0"/>
    <x v="7"/>
    <n v="6.3"/>
    <n v="153"/>
    <s v="High"/>
  </r>
  <r>
    <x v="356"/>
    <s v="Ananya Joshi"/>
    <x v="1"/>
    <x v="6"/>
    <n v="8.8000000000000007"/>
    <n v="70.099999999999994"/>
    <n v="51.6"/>
    <n v="0"/>
    <s v="HTML/CSS, JavaScript, SQL, Data Analysis"/>
    <n v="2026"/>
    <x v="0"/>
    <x v="12"/>
    <n v="8.3000000000000007"/>
    <n v="106"/>
    <s v="High"/>
  </r>
  <r>
    <x v="357"/>
    <s v="Pooja Pillai"/>
    <x v="2"/>
    <x v="2"/>
    <n v="7.9"/>
    <n v="84.2"/>
    <n v="78.2"/>
    <n v="0"/>
    <s v="React, Power BI"/>
    <n v="2026"/>
    <x v="2"/>
    <x v="2"/>
    <m/>
    <n v="214"/>
    <s v="Medium"/>
  </r>
  <r>
    <x v="358"/>
    <s v="Varun Rao"/>
    <x v="2"/>
    <x v="4"/>
    <n v="8.26"/>
    <n v="75.8"/>
    <n v="83.5"/>
    <n v="0"/>
    <s v="Git, Java, Power BI"/>
    <n v="2027"/>
    <x v="0"/>
    <x v="9"/>
    <n v="8.1999999999999993"/>
    <n v="174"/>
    <s v="High"/>
  </r>
  <r>
    <x v="359"/>
    <s v="Karan Sharma"/>
    <x v="1"/>
    <x v="1"/>
    <n v="9.8000000000000007"/>
    <n v="72.400000000000006"/>
    <n v="65.400000000000006"/>
    <n v="0"/>
    <s v="Excel, Java, Power BI"/>
    <n v="2026"/>
    <x v="0"/>
    <x v="12"/>
    <n v="8.6999999999999993"/>
    <n v="1"/>
    <s v="Very High"/>
  </r>
  <r>
    <x v="360"/>
    <s v="Varun Patil"/>
    <x v="0"/>
    <x v="5"/>
    <n v="7.13"/>
    <n v="71.599999999999994"/>
    <n v="76.2"/>
    <n v="2"/>
    <s v="Java, HTML/CSS, Data Analysis"/>
    <n v="2027"/>
    <x v="2"/>
    <x v="2"/>
    <m/>
    <n v="318"/>
    <s v="Medium"/>
  </r>
  <r>
    <x v="361"/>
    <s v="Deepak Pillai"/>
    <x v="1"/>
    <x v="6"/>
    <n v="6.42"/>
    <n v="74.3"/>
    <n v="89.8"/>
    <n v="1"/>
    <s v="JavaScript, Excel, Power BI, React, HTML/CSS"/>
    <n v="2026"/>
    <x v="2"/>
    <x v="2"/>
    <m/>
    <n v="414"/>
    <s v="Low"/>
  </r>
  <r>
    <x v="362"/>
    <s v="Sneha Kumar"/>
    <x v="2"/>
    <x v="8"/>
    <n v="6.06"/>
    <n v="61.3"/>
    <n v="88.7"/>
    <n v="0"/>
    <s v="Data Analysis, Python, JavaScript, SQL, Power BI"/>
    <n v="2025"/>
    <x v="2"/>
    <x v="2"/>
    <m/>
    <n v="449"/>
    <s v="Low"/>
  </r>
  <r>
    <x v="363"/>
    <s v="Pranav Reddy"/>
    <x v="0"/>
    <x v="2"/>
    <n v="7.46"/>
    <n v="75.900000000000006"/>
    <n v="60.9"/>
    <n v="0"/>
    <s v="Java, Data Analysis, Power BI, SQL"/>
    <n v="2025"/>
    <x v="2"/>
    <x v="2"/>
    <m/>
    <n v="279"/>
    <s v="Medium"/>
  </r>
  <r>
    <x v="364"/>
    <s v="Arjun Nair"/>
    <x v="3"/>
    <x v="7"/>
    <n v="5.9"/>
    <n v="75.3"/>
    <n v="73"/>
    <n v="0"/>
    <s v="Data Analysis, Power BI, HTML/CSS, SQL, Excel"/>
    <n v="2026"/>
    <x v="1"/>
    <x v="2"/>
    <m/>
    <n v="470"/>
    <s v="Low"/>
  </r>
  <r>
    <x v="365"/>
    <s v="Pooja Hegde"/>
    <x v="0"/>
    <x v="2"/>
    <n v="7.35"/>
    <n v="91.3"/>
    <n v="55.3"/>
    <n v="0"/>
    <s v="Git, SQL"/>
    <n v="2026"/>
    <x v="2"/>
    <x v="2"/>
    <m/>
    <n v="294"/>
    <s v="Medium"/>
  </r>
  <r>
    <x v="366"/>
    <s v="Ananya Sharma"/>
    <x v="0"/>
    <x v="5"/>
    <n v="8.83"/>
    <n v="81.8"/>
    <n v="59.7"/>
    <n v="0"/>
    <s v="Power BI, Data Analysis, HTML/CSS, JavaScript"/>
    <n v="2026"/>
    <x v="0"/>
    <x v="14"/>
    <n v="4.9000000000000004"/>
    <n v="99"/>
    <s v="High"/>
  </r>
  <r>
    <x v="367"/>
    <s v="Nikhil Patil"/>
    <x v="0"/>
    <x v="0"/>
    <n v="7.97"/>
    <n v="78.099999999999994"/>
    <n v="62.5"/>
    <n v="2"/>
    <s v="Git, Java, Python, Excel"/>
    <n v="2026"/>
    <x v="1"/>
    <x v="2"/>
    <m/>
    <n v="208"/>
    <s v="Medium"/>
  </r>
  <r>
    <x v="368"/>
    <s v="Tanvi Mishra"/>
    <x v="1"/>
    <x v="0"/>
    <n v="7.68"/>
    <n v="83.4"/>
    <n v="72.2"/>
    <n v="0"/>
    <s v="JavaScript, Python, React, Power BI, Data Analysis"/>
    <n v="2026"/>
    <x v="1"/>
    <x v="2"/>
    <m/>
    <n v="246"/>
    <s v="Medium"/>
  </r>
  <r>
    <x v="369"/>
    <s v="Nisha Gupta"/>
    <x v="0"/>
    <x v="2"/>
    <n v="8.07"/>
    <n v="58.9"/>
    <n v="86.9"/>
    <n v="0"/>
    <s v="React, Power BI"/>
    <n v="2026"/>
    <x v="2"/>
    <x v="2"/>
    <m/>
    <n v="198"/>
    <s v="High"/>
  </r>
  <r>
    <x v="370"/>
    <s v="Bhavana Hegde"/>
    <x v="1"/>
    <x v="0"/>
    <n v="9.24"/>
    <n v="80.900000000000006"/>
    <n v="92"/>
    <n v="0"/>
    <s v="HTML/CSS, React, Data Analysis, Excel"/>
    <n v="2025"/>
    <x v="0"/>
    <x v="13"/>
    <n v="8.1999999999999993"/>
    <n v="54"/>
    <s v="Very High"/>
  </r>
  <r>
    <x v="371"/>
    <s v="Rohan Gupta"/>
    <x v="2"/>
    <x v="4"/>
    <n v="7.83"/>
    <n v="72"/>
    <n v="82.9"/>
    <n v="0"/>
    <s v="Power BI, Data Analysis"/>
    <n v="2026"/>
    <x v="2"/>
    <x v="2"/>
    <m/>
    <n v="224"/>
    <s v="Medium"/>
  </r>
  <r>
    <x v="372"/>
    <s v="Riya Gowda"/>
    <x v="1"/>
    <x v="6"/>
    <n v="7.34"/>
    <n v="69.3"/>
    <n v="87.4"/>
    <n v="0"/>
    <s v="Git, HTML/CSS, Java, SQL, Data Analysis"/>
    <n v="2026"/>
    <x v="1"/>
    <x v="2"/>
    <m/>
    <n v="296"/>
    <s v="Medium"/>
  </r>
  <r>
    <x v="373"/>
    <s v="Karan Gowda"/>
    <x v="0"/>
    <x v="5"/>
    <n v="8.18"/>
    <n v="68.7"/>
    <n v="54.5"/>
    <n v="0"/>
    <s v="JavaScript, SQL, Data Analysis, HTML/CSS"/>
    <n v="2026"/>
    <x v="2"/>
    <x v="2"/>
    <m/>
    <n v="184"/>
    <s v="High"/>
  </r>
  <r>
    <x v="374"/>
    <s v="Deepak Nair"/>
    <x v="0"/>
    <x v="0"/>
    <n v="6.67"/>
    <n v="60.8"/>
    <n v="76.7"/>
    <n v="0"/>
    <s v="Python, Git"/>
    <n v="2026"/>
    <x v="0"/>
    <x v="5"/>
    <n v="9.4"/>
    <n v="378"/>
    <s v="Low"/>
  </r>
  <r>
    <x v="375"/>
    <s v="Neha Mishra"/>
    <x v="2"/>
    <x v="8"/>
    <n v="8.08"/>
    <n v="93.4"/>
    <n v="64"/>
    <n v="2"/>
    <s v="HTML/CSS, SQL, Excel, Power BI, JavaScript"/>
    <n v="2026"/>
    <x v="0"/>
    <x v="12"/>
    <n v="3.9"/>
    <n v="195"/>
    <s v="High"/>
  </r>
  <r>
    <x v="376"/>
    <s v="Sneha Desai"/>
    <x v="0"/>
    <x v="0"/>
    <n v="8.61"/>
    <n v="89.5"/>
    <n v="66.5"/>
    <n v="1"/>
    <s v="Java, JavaScript"/>
    <n v="2026"/>
    <x v="2"/>
    <x v="2"/>
    <m/>
    <n v="134"/>
    <s v="High"/>
  </r>
  <r>
    <x v="377"/>
    <s v="Suraj Gowda"/>
    <x v="3"/>
    <x v="4"/>
    <n v="7.54"/>
    <n v="63.9"/>
    <n v="58"/>
    <n v="0"/>
    <s v="HTML/CSS, JavaScript, Python, React, Git"/>
    <n v="2025"/>
    <x v="0"/>
    <x v="7"/>
    <n v="3.4"/>
    <n v="270"/>
    <s v="Medium"/>
  </r>
  <r>
    <x v="378"/>
    <s v="Divya Kulkarni"/>
    <x v="3"/>
    <x v="3"/>
    <n v="6.14"/>
    <n v="82"/>
    <n v="69.099999999999994"/>
    <n v="0"/>
    <s v="Git, Python, React, Power BI, Java"/>
    <n v="2026"/>
    <x v="2"/>
    <x v="2"/>
    <m/>
    <n v="437"/>
    <s v="Low"/>
  </r>
  <r>
    <x v="379"/>
    <s v="Kavya Rao"/>
    <x v="3"/>
    <x v="7"/>
    <n v="5.83"/>
    <n v="75.900000000000006"/>
    <n v="83.6"/>
    <n v="0"/>
    <s v="JavaScript, Data Analysis, HTML/CSS, Excel"/>
    <n v="2027"/>
    <x v="1"/>
    <x v="2"/>
    <m/>
    <n v="473"/>
    <s v="Low"/>
  </r>
  <r>
    <x v="380"/>
    <s v="Shreya Reddy"/>
    <x v="3"/>
    <x v="7"/>
    <n v="6.12"/>
    <n v="85.7"/>
    <n v="74.2"/>
    <n v="1"/>
    <s v="React, Data Analysis, SQL, Power BI"/>
    <n v="2027"/>
    <x v="0"/>
    <x v="13"/>
    <n v="10"/>
    <n v="439"/>
    <s v="Low"/>
  </r>
  <r>
    <x v="381"/>
    <s v="Ishita Pillai"/>
    <x v="2"/>
    <x v="3"/>
    <n v="9.41"/>
    <n v="77.5"/>
    <n v="50.5"/>
    <n v="0"/>
    <s v="Git, HTML/CSS, JavaScript, Python, React"/>
    <n v="2026"/>
    <x v="0"/>
    <x v="3"/>
    <n v="9.6999999999999993"/>
    <n v="38"/>
    <s v="Very High"/>
  </r>
  <r>
    <x v="382"/>
    <s v="Harsh Shetty"/>
    <x v="2"/>
    <x v="3"/>
    <n v="8.32"/>
    <n v="79.3"/>
    <n v="76.400000000000006"/>
    <n v="0"/>
    <s v="Git, Excel, Power BI, Java"/>
    <n v="2025"/>
    <x v="0"/>
    <x v="8"/>
    <n v="11.7"/>
    <n v="167"/>
    <s v="High"/>
  </r>
  <r>
    <x v="383"/>
    <s v="Bhavana Verma"/>
    <x v="2"/>
    <x v="8"/>
    <n v="9.23"/>
    <n v="55.6"/>
    <n v="55.1"/>
    <n v="0"/>
    <s v="React, HTML/CSS, Python"/>
    <n v="2026"/>
    <x v="2"/>
    <x v="2"/>
    <m/>
    <n v="58"/>
    <s v="Very High"/>
  </r>
  <r>
    <x v="384"/>
    <s v="Kavya Patil"/>
    <x v="0"/>
    <x v="2"/>
    <n v="9.74"/>
    <n v="95.6"/>
    <n v="77.400000000000006"/>
    <n v="1"/>
    <s v="JavaScript, Git, Java, HTML/CSS, React"/>
    <n v="2026"/>
    <x v="0"/>
    <x v="5"/>
    <n v="11.1"/>
    <n v="4"/>
    <s v="Very High"/>
  </r>
  <r>
    <x v="385"/>
    <s v="Aarav Hegde"/>
    <x v="2"/>
    <x v="3"/>
    <n v="6.01"/>
    <n v="74.5"/>
    <n v="71.900000000000006"/>
    <n v="0"/>
    <s v="JavaScript, Git, React"/>
    <n v="2026"/>
    <x v="2"/>
    <x v="2"/>
    <m/>
    <n v="455"/>
    <s v="Low"/>
  </r>
  <r>
    <x v="386"/>
    <s v="Nikhil Gupta"/>
    <x v="3"/>
    <x v="4"/>
    <n v="8.51"/>
    <n v="95.4"/>
    <n v="81.400000000000006"/>
    <n v="0"/>
    <s v="JavaScript, Power BI, HTML/CSS, Python"/>
    <n v="2026"/>
    <x v="0"/>
    <x v="7"/>
    <n v="9.5"/>
    <n v="144"/>
    <s v="High"/>
  </r>
  <r>
    <x v="387"/>
    <s v="Nikhil Singh"/>
    <x v="1"/>
    <x v="1"/>
    <n v="7.15"/>
    <n v="84"/>
    <n v="58.3"/>
    <n v="0"/>
    <s v="SQL, Excel"/>
    <n v="2026"/>
    <x v="1"/>
    <x v="2"/>
    <m/>
    <n v="316"/>
    <s v="Medium"/>
  </r>
  <r>
    <x v="388"/>
    <s v="Shreya Pillai"/>
    <x v="1"/>
    <x v="1"/>
    <n v="6.93"/>
    <n v="63.1"/>
    <n v="51.1"/>
    <n v="0"/>
    <s v="Git, SQL, Data Analysis"/>
    <n v="2025"/>
    <x v="2"/>
    <x v="2"/>
    <m/>
    <n v="344"/>
    <s v="Low"/>
  </r>
  <r>
    <x v="389"/>
    <s v="Karan Patil"/>
    <x v="1"/>
    <x v="0"/>
    <n v="8.58"/>
    <n v="65.599999999999994"/>
    <n v="71.5"/>
    <n v="2"/>
    <s v="Power BI, JavaScript, HTML/CSS, Python, SQL"/>
    <n v="2026"/>
    <x v="0"/>
    <x v="9"/>
    <n v="7.3"/>
    <n v="138"/>
    <s v="High"/>
  </r>
  <r>
    <x v="390"/>
    <s v="Nikhil Joshi"/>
    <x v="2"/>
    <x v="8"/>
    <n v="6.51"/>
    <n v="57.9"/>
    <n v="95.1"/>
    <n v="0"/>
    <s v="Python, React, SQL, Data Analysis, Power BI"/>
    <n v="2026"/>
    <x v="0"/>
    <x v="7"/>
    <n v="4.3"/>
    <n v="402"/>
    <s v="Low"/>
  </r>
  <r>
    <x v="391"/>
    <s v="Riya Sharma"/>
    <x v="0"/>
    <x v="0"/>
    <n v="6.09"/>
    <n v="79"/>
    <n v="61.5"/>
    <n v="0"/>
    <s v="Python, Excel, Data Analysis, HTML/CSS, Java"/>
    <n v="2026"/>
    <x v="2"/>
    <x v="2"/>
    <m/>
    <n v="443"/>
    <s v="Low"/>
  </r>
  <r>
    <x v="392"/>
    <s v="Karan Hegde"/>
    <x v="3"/>
    <x v="4"/>
    <n v="7.54"/>
    <n v="90.5"/>
    <n v="85.9"/>
    <n v="1"/>
    <s v="Excel, JavaScript, React"/>
    <n v="2025"/>
    <x v="2"/>
    <x v="2"/>
    <m/>
    <n v="270"/>
    <s v="Medium"/>
  </r>
  <r>
    <x v="393"/>
    <s v="Shreya Nair"/>
    <x v="3"/>
    <x v="3"/>
    <n v="8.33"/>
    <n v="95.3"/>
    <n v="54.2"/>
    <n v="0"/>
    <s v="SQL, React, Power BI, HTML/CSS"/>
    <n v="2026"/>
    <x v="2"/>
    <x v="2"/>
    <m/>
    <n v="166"/>
    <s v="High"/>
  </r>
  <r>
    <x v="394"/>
    <s v="Varun Mishra"/>
    <x v="2"/>
    <x v="2"/>
    <n v="9.39"/>
    <n v="81.5"/>
    <n v="66.5"/>
    <n v="0"/>
    <s v="Java, Python, Excel, SQL, React"/>
    <n v="2026"/>
    <x v="0"/>
    <x v="13"/>
    <n v="7.4"/>
    <n v="40"/>
    <s v="Very High"/>
  </r>
  <r>
    <x v="395"/>
    <s v="Ananya Nair"/>
    <x v="2"/>
    <x v="2"/>
    <n v="7.94"/>
    <n v="90"/>
    <n v="70.7"/>
    <n v="3"/>
    <s v="HTML/CSS, Excel"/>
    <n v="2026"/>
    <x v="2"/>
    <x v="2"/>
    <m/>
    <n v="210"/>
    <s v="Medium"/>
  </r>
  <r>
    <x v="396"/>
    <s v="Aditi Gupta"/>
    <x v="3"/>
    <x v="7"/>
    <n v="9.2799999999999994"/>
    <n v="77.5"/>
    <n v="84.1"/>
    <n v="0"/>
    <s v="Excel, Python"/>
    <n v="2026"/>
    <x v="0"/>
    <x v="3"/>
    <n v="13.1"/>
    <n v="48"/>
    <s v="Very High"/>
  </r>
  <r>
    <x v="397"/>
    <s v="Divya Reddy"/>
    <x v="1"/>
    <x v="0"/>
    <n v="6.49"/>
    <n v="57.1"/>
    <n v="64.099999999999994"/>
    <n v="1"/>
    <s v="Git, Python, SQL, JavaScript, Excel"/>
    <n v="2025"/>
    <x v="1"/>
    <x v="2"/>
    <m/>
    <n v="406"/>
    <s v="Low"/>
  </r>
  <r>
    <x v="398"/>
    <s v="Tanvi Patil"/>
    <x v="1"/>
    <x v="6"/>
    <n v="7.15"/>
    <n v="90.1"/>
    <n v="83.9"/>
    <n v="0"/>
    <s v="Git, Data Analysis"/>
    <n v="2025"/>
    <x v="2"/>
    <x v="2"/>
    <m/>
    <n v="316"/>
    <s v="Medium"/>
  </r>
  <r>
    <x v="399"/>
    <s v="Sanjay Jain"/>
    <x v="1"/>
    <x v="6"/>
    <n v="6.05"/>
    <n v="66.5"/>
    <n v="84.8"/>
    <n v="0"/>
    <s v="Data Analysis, Python, React, SQL"/>
    <n v="2027"/>
    <x v="0"/>
    <x v="4"/>
    <n v="11.7"/>
    <n v="450"/>
    <s v="Low"/>
  </r>
  <r>
    <x v="400"/>
    <s v="Sneha Shetty"/>
    <x v="3"/>
    <x v="3"/>
    <n v="5.86"/>
    <n v="75.5"/>
    <n v="50.3"/>
    <n v="0"/>
    <s v="Git, Power BI"/>
    <n v="2026"/>
    <x v="2"/>
    <x v="2"/>
    <m/>
    <n v="472"/>
    <s v="Low"/>
  </r>
  <r>
    <x v="401"/>
    <s v="Sanjay Hegde"/>
    <x v="1"/>
    <x v="0"/>
    <n v="8.36"/>
    <n v="77"/>
    <n v="69"/>
    <n v="2"/>
    <s v="Git, Python"/>
    <n v="2026"/>
    <x v="2"/>
    <x v="2"/>
    <m/>
    <n v="162"/>
    <s v="High"/>
  </r>
  <r>
    <x v="402"/>
    <s v="Divya Naik"/>
    <x v="2"/>
    <x v="2"/>
    <n v="5.82"/>
    <n v="64.900000000000006"/>
    <n v="55.4"/>
    <n v="0"/>
    <s v="Git, HTML/CSS"/>
    <n v="2027"/>
    <x v="1"/>
    <x v="2"/>
    <m/>
    <n v="475"/>
    <s v="Low"/>
  </r>
  <r>
    <x v="403"/>
    <s v="Meera Joshi"/>
    <x v="1"/>
    <x v="6"/>
    <n v="6.01"/>
    <n v="59.7"/>
    <n v="56.9"/>
    <n v="1"/>
    <s v="React, Python, Data Analysis, HTML/CSS, Excel"/>
    <n v="2025"/>
    <x v="2"/>
    <x v="2"/>
    <m/>
    <n v="455"/>
    <s v="Low"/>
  </r>
  <r>
    <x v="404"/>
    <s v="Nikhil Pillai"/>
    <x v="2"/>
    <x v="2"/>
    <n v="5.97"/>
    <n v="86.1"/>
    <n v="92.5"/>
    <n v="0"/>
    <s v="React, Data Analysis"/>
    <n v="2025"/>
    <x v="1"/>
    <x v="2"/>
    <m/>
    <n v="464"/>
    <s v="Low"/>
  </r>
  <r>
    <x v="405"/>
    <s v="Nisha Pillai"/>
    <x v="2"/>
    <x v="2"/>
    <n v="6.6"/>
    <n v="83.4"/>
    <n v="65"/>
    <n v="0"/>
    <s v="Java, SQL, Git, HTML/CSS"/>
    <n v="2026"/>
    <x v="0"/>
    <x v="3"/>
    <n v="5.6"/>
    <n v="387"/>
    <s v="Low"/>
  </r>
  <r>
    <x v="406"/>
    <s v="Karan Shetty"/>
    <x v="3"/>
    <x v="3"/>
    <n v="9.36"/>
    <n v="61.1"/>
    <n v="92.7"/>
    <n v="0"/>
    <s v="HTML/CSS, Python, React, Git, SQL"/>
    <n v="2026"/>
    <x v="2"/>
    <x v="2"/>
    <m/>
    <n v="45"/>
    <s v="Very High"/>
  </r>
  <r>
    <x v="407"/>
    <s v="Neha Kulkarni"/>
    <x v="0"/>
    <x v="5"/>
    <n v="8.07"/>
    <n v="66.8"/>
    <n v="55.1"/>
    <n v="0"/>
    <s v="Python, HTML/CSS, Java, Git, Power BI"/>
    <n v="2026"/>
    <x v="1"/>
    <x v="2"/>
    <m/>
    <n v="198"/>
    <s v="High"/>
  </r>
  <r>
    <x v="408"/>
    <s v="Divya Pillai"/>
    <x v="1"/>
    <x v="0"/>
    <n v="7.45"/>
    <n v="76.900000000000006"/>
    <n v="89.7"/>
    <n v="0"/>
    <s v="React, Power BI, Excel, HTML/CSS, Java"/>
    <n v="2026"/>
    <x v="0"/>
    <x v="10"/>
    <n v="7.9"/>
    <n v="280"/>
    <s v="Medium"/>
  </r>
  <r>
    <x v="409"/>
    <s v="Vikas Rao"/>
    <x v="1"/>
    <x v="1"/>
    <n v="9.39"/>
    <n v="72.5"/>
    <n v="52"/>
    <n v="3"/>
    <s v="JavaScript, Data Analysis"/>
    <n v="2026"/>
    <x v="1"/>
    <x v="2"/>
    <m/>
    <n v="40"/>
    <s v="Very High"/>
  </r>
  <r>
    <x v="410"/>
    <s v="Nisha Hegde"/>
    <x v="3"/>
    <x v="4"/>
    <n v="6.76"/>
    <n v="78.5"/>
    <n v="50.6"/>
    <n v="0"/>
    <s v="Python, HTML/CSS, Power BI"/>
    <n v="2026"/>
    <x v="2"/>
    <x v="2"/>
    <m/>
    <n v="368"/>
    <s v="Low"/>
  </r>
  <r>
    <x v="411"/>
    <s v="Yash Reddy"/>
    <x v="1"/>
    <x v="1"/>
    <n v="7.64"/>
    <n v="79"/>
    <n v="76.8"/>
    <n v="2"/>
    <s v="Python, JavaScript, Git, Data Analysis, React"/>
    <n v="2026"/>
    <x v="2"/>
    <x v="2"/>
    <m/>
    <n v="251"/>
    <s v="Medium"/>
  </r>
  <r>
    <x v="412"/>
    <s v="Neha Patil"/>
    <x v="3"/>
    <x v="7"/>
    <n v="7.13"/>
    <n v="56.4"/>
    <n v="69.599999999999994"/>
    <n v="0"/>
    <s v="SQL, HTML/CSS, Excel"/>
    <n v="2026"/>
    <x v="2"/>
    <x v="2"/>
    <m/>
    <n v="318"/>
    <s v="Medium"/>
  </r>
  <r>
    <x v="413"/>
    <s v="Nisha Pillai"/>
    <x v="0"/>
    <x v="2"/>
    <n v="7.26"/>
    <n v="81"/>
    <n v="66.8"/>
    <n v="0"/>
    <s v="Data Analysis, Java"/>
    <n v="2025"/>
    <x v="0"/>
    <x v="15"/>
    <n v="4.4000000000000004"/>
    <n v="307"/>
    <s v="Medium"/>
  </r>
  <r>
    <x v="414"/>
    <s v="Sneha Mishra"/>
    <x v="1"/>
    <x v="1"/>
    <n v="8.84"/>
    <n v="68.5"/>
    <n v="91.3"/>
    <n v="0"/>
    <s v="Power BI, Excel, SQL, Python, JavaScript"/>
    <n v="2026"/>
    <x v="0"/>
    <x v="8"/>
    <n v="4.5"/>
    <n v="96"/>
    <s v="High"/>
  </r>
  <r>
    <x v="415"/>
    <s v="Ishita Reddy"/>
    <x v="2"/>
    <x v="2"/>
    <n v="8.2799999999999994"/>
    <n v="88.6"/>
    <n v="93.5"/>
    <n v="1"/>
    <s v="Java, React"/>
    <n v="2025"/>
    <x v="2"/>
    <x v="2"/>
    <m/>
    <n v="171"/>
    <s v="High"/>
  </r>
  <r>
    <x v="416"/>
    <s v="Nisha Singh"/>
    <x v="0"/>
    <x v="0"/>
    <n v="6.9"/>
    <n v="84.3"/>
    <n v="72.2"/>
    <n v="1"/>
    <s v="Power BI, JavaScript"/>
    <n v="2027"/>
    <x v="2"/>
    <x v="2"/>
    <m/>
    <n v="346"/>
    <s v="Low"/>
  </r>
  <r>
    <x v="417"/>
    <s v="Nisha Pillai"/>
    <x v="3"/>
    <x v="4"/>
    <n v="8.75"/>
    <n v="55.9"/>
    <n v="58.7"/>
    <n v="0"/>
    <s v="Data Analysis, HTML/CSS, JavaScript"/>
    <n v="2026"/>
    <x v="2"/>
    <x v="2"/>
    <m/>
    <n v="116"/>
    <s v="High"/>
  </r>
  <r>
    <x v="418"/>
    <s v="Bhavana Jain"/>
    <x v="3"/>
    <x v="4"/>
    <n v="7.02"/>
    <n v="60.5"/>
    <n v="86.3"/>
    <n v="0"/>
    <s v="Java, React, HTML/CSS, Python"/>
    <n v="2026"/>
    <x v="0"/>
    <x v="10"/>
    <n v="6.3"/>
    <n v="336"/>
    <s v="Medium"/>
  </r>
  <r>
    <x v="419"/>
    <s v="Kavya Kulkarni"/>
    <x v="1"/>
    <x v="1"/>
    <n v="7.94"/>
    <n v="62.7"/>
    <n v="58.1"/>
    <n v="0"/>
    <s v="Python, Java, SQL"/>
    <n v="2025"/>
    <x v="0"/>
    <x v="14"/>
    <n v="8"/>
    <n v="210"/>
    <s v="Medium"/>
  </r>
  <r>
    <x v="420"/>
    <s v="Pranav Kumar"/>
    <x v="1"/>
    <x v="1"/>
    <n v="8.6300000000000008"/>
    <n v="83"/>
    <n v="95"/>
    <n v="0"/>
    <s v="Data Analysis, Python, Power BI, Excel, JavaScript"/>
    <n v="2026"/>
    <x v="0"/>
    <x v="14"/>
    <n v="13.4"/>
    <n v="132"/>
    <s v="High"/>
  </r>
  <r>
    <x v="421"/>
    <s v="Karan Rao"/>
    <x v="1"/>
    <x v="0"/>
    <n v="9.68"/>
    <n v="77.900000000000006"/>
    <n v="73.3"/>
    <n v="0"/>
    <s v="React, Power BI, Python, JavaScript"/>
    <n v="2026"/>
    <x v="2"/>
    <x v="2"/>
    <m/>
    <n v="12"/>
    <s v="Very High"/>
  </r>
  <r>
    <x v="422"/>
    <s v="Riya Verma"/>
    <x v="3"/>
    <x v="3"/>
    <n v="6.36"/>
    <n v="78.099999999999994"/>
    <n v="64.2"/>
    <n v="0"/>
    <s v="React, HTML/CSS, SQL"/>
    <n v="2026"/>
    <x v="2"/>
    <x v="2"/>
    <m/>
    <n v="420"/>
    <s v="Low"/>
  </r>
  <r>
    <x v="423"/>
    <s v="Aditi Singh"/>
    <x v="1"/>
    <x v="6"/>
    <n v="6.58"/>
    <n v="58.5"/>
    <n v="89.1"/>
    <n v="0"/>
    <s v="Data Analysis, JavaScript"/>
    <n v="2026"/>
    <x v="0"/>
    <x v="5"/>
    <n v="8.6999999999999993"/>
    <n v="391"/>
    <s v="Low"/>
  </r>
  <r>
    <x v="424"/>
    <s v="Meera Naik"/>
    <x v="3"/>
    <x v="3"/>
    <n v="8.66"/>
    <n v="73"/>
    <n v="67.8"/>
    <n v="0"/>
    <s v="HTML/CSS, Power BI, React, JavaScript"/>
    <n v="2026"/>
    <x v="0"/>
    <x v="3"/>
    <n v="8"/>
    <n v="128"/>
    <s v="High"/>
  </r>
  <r>
    <x v="425"/>
    <s v="Karan Reddy"/>
    <x v="2"/>
    <x v="4"/>
    <n v="9.02"/>
    <n v="95.8"/>
    <n v="69.5"/>
    <n v="1"/>
    <s v="Git, SQL, Python"/>
    <n v="2026"/>
    <x v="1"/>
    <x v="2"/>
    <m/>
    <n v="83"/>
    <s v="Very High"/>
  </r>
  <r>
    <x v="426"/>
    <s v="Vikas Pillai"/>
    <x v="3"/>
    <x v="3"/>
    <n v="5.83"/>
    <n v="81.8"/>
    <n v="62.6"/>
    <n v="0"/>
    <s v="Git, Python, Java, SQL, React"/>
    <n v="2026"/>
    <x v="2"/>
    <x v="2"/>
    <m/>
    <n v="473"/>
    <s v="Low"/>
  </r>
  <r>
    <x v="427"/>
    <s v="Sneha Gupta"/>
    <x v="2"/>
    <x v="2"/>
    <n v="8.0399999999999991"/>
    <n v="74.5"/>
    <n v="51.2"/>
    <n v="0"/>
    <s v="Power BI, React, SQL, HTML/CSS"/>
    <n v="2026"/>
    <x v="0"/>
    <x v="14"/>
    <n v="8.5"/>
    <n v="201"/>
    <s v="High"/>
  </r>
  <r>
    <x v="428"/>
    <s v="Vikas Rao"/>
    <x v="0"/>
    <x v="0"/>
    <n v="8.86"/>
    <n v="75.7"/>
    <n v="94.6"/>
    <n v="0"/>
    <s v="Git, React, JavaScript, Data Analysis"/>
    <n v="2026"/>
    <x v="1"/>
    <x v="2"/>
    <m/>
    <n v="93"/>
    <s v="High"/>
  </r>
  <r>
    <x v="429"/>
    <s v="Aditi Hegde"/>
    <x v="2"/>
    <x v="3"/>
    <n v="9.18"/>
    <n v="61.8"/>
    <n v="52.7"/>
    <n v="0"/>
    <s v="HTML/CSS, Python, Excel"/>
    <n v="2026"/>
    <x v="0"/>
    <x v="3"/>
    <n v="13.5"/>
    <n v="67"/>
    <s v="Very High"/>
  </r>
  <r>
    <x v="430"/>
    <s v="Harsh Singh"/>
    <x v="2"/>
    <x v="3"/>
    <n v="7.86"/>
    <n v="87.2"/>
    <n v="58.4"/>
    <n v="0"/>
    <s v="Data Analysis, HTML/CSS, Git"/>
    <n v="2026"/>
    <x v="2"/>
    <x v="2"/>
    <m/>
    <n v="218"/>
    <s v="Medium"/>
  </r>
  <r>
    <x v="431"/>
    <s v="Varun Mishra"/>
    <x v="0"/>
    <x v="5"/>
    <n v="8.1199999999999992"/>
    <n v="89.6"/>
    <n v="50.6"/>
    <n v="0"/>
    <s v="React, JavaScript, HTML/CSS, SQL"/>
    <n v="2025"/>
    <x v="0"/>
    <x v="0"/>
    <n v="12.2"/>
    <n v="191"/>
    <s v="High"/>
  </r>
  <r>
    <x v="432"/>
    <s v="Bhavana Hegde"/>
    <x v="0"/>
    <x v="2"/>
    <n v="7.64"/>
    <n v="58.2"/>
    <n v="87.7"/>
    <n v="2"/>
    <s v="HTML/CSS, Power BI, Git, SQL, Java"/>
    <n v="2027"/>
    <x v="2"/>
    <x v="2"/>
    <m/>
    <n v="251"/>
    <s v="Medium"/>
  </r>
  <r>
    <x v="433"/>
    <s v="Ananya Reddy"/>
    <x v="0"/>
    <x v="5"/>
    <n v="9.06"/>
    <n v="64.3"/>
    <n v="89.4"/>
    <n v="0"/>
    <s v="Power BI, Python, Java"/>
    <n v="2025"/>
    <x v="0"/>
    <x v="11"/>
    <n v="11.4"/>
    <n v="79"/>
    <s v="Very High"/>
  </r>
  <r>
    <x v="434"/>
    <s v="Tanvi Rao"/>
    <x v="0"/>
    <x v="2"/>
    <n v="8.83"/>
    <n v="56.8"/>
    <n v="55"/>
    <n v="1"/>
    <s v="React, SQL"/>
    <n v="2027"/>
    <x v="0"/>
    <x v="12"/>
    <n v="10.4"/>
    <n v="99"/>
    <s v="High"/>
  </r>
  <r>
    <x v="435"/>
    <s v="Tanvi Jain"/>
    <x v="0"/>
    <x v="5"/>
    <n v="6.62"/>
    <n v="92.8"/>
    <n v="58.5"/>
    <n v="0"/>
    <s v="Python, Power BI"/>
    <n v="2027"/>
    <x v="0"/>
    <x v="14"/>
    <n v="12.4"/>
    <n v="384"/>
    <s v="Low"/>
  </r>
  <r>
    <x v="436"/>
    <s v="Ananya Nair"/>
    <x v="1"/>
    <x v="1"/>
    <n v="8.08"/>
    <n v="59.2"/>
    <n v="76.599999999999994"/>
    <n v="0"/>
    <s v="Java, Power BI, Python"/>
    <n v="2027"/>
    <x v="1"/>
    <x v="2"/>
    <m/>
    <n v="195"/>
    <s v="High"/>
  </r>
  <r>
    <x v="437"/>
    <s v="Ananya Verma"/>
    <x v="3"/>
    <x v="4"/>
    <n v="8.59"/>
    <n v="62.8"/>
    <n v="81"/>
    <n v="0"/>
    <s v="JavaScript, Git, Java, Power BI"/>
    <n v="2026"/>
    <x v="0"/>
    <x v="10"/>
    <n v="4.5"/>
    <n v="137"/>
    <s v="High"/>
  </r>
  <r>
    <x v="438"/>
    <s v="Vikas Naik"/>
    <x v="1"/>
    <x v="6"/>
    <n v="8.85"/>
    <n v="84.6"/>
    <n v="75.599999999999994"/>
    <n v="0"/>
    <s v="React, SQL, JavaScript, Python"/>
    <n v="2026"/>
    <x v="1"/>
    <x v="2"/>
    <m/>
    <n v="95"/>
    <s v="High"/>
  </r>
  <r>
    <x v="439"/>
    <s v="Shreya Reddy"/>
    <x v="1"/>
    <x v="1"/>
    <n v="7.43"/>
    <n v="96.4"/>
    <n v="69.7"/>
    <n v="1"/>
    <s v="HTML/CSS, Python, Excel, Git, Java"/>
    <n v="2026"/>
    <x v="1"/>
    <x v="2"/>
    <m/>
    <n v="287"/>
    <s v="Medium"/>
  </r>
  <r>
    <x v="440"/>
    <s v="Ananya Gupta"/>
    <x v="0"/>
    <x v="0"/>
    <n v="7.38"/>
    <n v="84.2"/>
    <n v="95"/>
    <n v="0"/>
    <s v="SQL, HTML/CSS, Java"/>
    <n v="2026"/>
    <x v="2"/>
    <x v="2"/>
    <m/>
    <n v="292"/>
    <s v="Medium"/>
  </r>
  <r>
    <x v="441"/>
    <s v="Ananya Joshi"/>
    <x v="3"/>
    <x v="7"/>
    <n v="7.8"/>
    <n v="87.1"/>
    <n v="85.2"/>
    <n v="0"/>
    <s v="HTML/CSS, React, JavaScript, Java, Power BI"/>
    <n v="2026"/>
    <x v="2"/>
    <x v="2"/>
    <m/>
    <n v="226"/>
    <s v="Medium"/>
  </r>
  <r>
    <x v="442"/>
    <s v="Karan Shetty"/>
    <x v="3"/>
    <x v="4"/>
    <n v="6.72"/>
    <n v="94.6"/>
    <n v="51.4"/>
    <n v="0"/>
    <s v="React, Excel"/>
    <n v="2027"/>
    <x v="1"/>
    <x v="2"/>
    <m/>
    <n v="371"/>
    <s v="Low"/>
  </r>
  <r>
    <x v="443"/>
    <s v="Aarav Patil"/>
    <x v="2"/>
    <x v="3"/>
    <n v="8.84"/>
    <n v="82.8"/>
    <n v="73.900000000000006"/>
    <n v="0"/>
    <s v="Java, Power BI, React, Git, Data Analysis"/>
    <n v="2026"/>
    <x v="0"/>
    <x v="8"/>
    <n v="9"/>
    <n v="96"/>
    <s v="High"/>
  </r>
  <r>
    <x v="444"/>
    <s v="Bhavana Gowda"/>
    <x v="3"/>
    <x v="3"/>
    <n v="7.33"/>
    <n v="68.2"/>
    <n v="67.3"/>
    <n v="0"/>
    <s v="Python, Data Analysis"/>
    <n v="2026"/>
    <x v="1"/>
    <x v="2"/>
    <m/>
    <n v="297"/>
    <s v="Medium"/>
  </r>
  <r>
    <x v="445"/>
    <s v="Harsh Gowda"/>
    <x v="3"/>
    <x v="3"/>
    <n v="7.05"/>
    <n v="71.3"/>
    <n v="85.1"/>
    <n v="0"/>
    <s v="Data Analysis, Git, React, Java, Power BI"/>
    <n v="2027"/>
    <x v="2"/>
    <x v="2"/>
    <m/>
    <n v="332"/>
    <s v="Medium"/>
  </r>
  <r>
    <x v="446"/>
    <s v="Tanvi Kumar"/>
    <x v="3"/>
    <x v="7"/>
    <n v="8.51"/>
    <n v="87.2"/>
    <n v="63.1"/>
    <n v="0"/>
    <s v="Python, HTML/CSS"/>
    <n v="2026"/>
    <x v="2"/>
    <x v="2"/>
    <m/>
    <n v="144"/>
    <s v="High"/>
  </r>
  <r>
    <x v="447"/>
    <s v="Yash Hegde"/>
    <x v="3"/>
    <x v="3"/>
    <n v="7.51"/>
    <n v="96.7"/>
    <n v="68.900000000000006"/>
    <n v="0"/>
    <s v="Java, Git, Power BI"/>
    <n v="2026"/>
    <x v="2"/>
    <x v="2"/>
    <m/>
    <n v="275"/>
    <s v="Medium"/>
  </r>
  <r>
    <x v="448"/>
    <s v="Manoj Pillai"/>
    <x v="0"/>
    <x v="2"/>
    <n v="6.48"/>
    <n v="77.599999999999994"/>
    <n v="51.7"/>
    <n v="0"/>
    <s v="Git, Data Analysis, JavaScript, Python, Excel"/>
    <n v="2026"/>
    <x v="2"/>
    <x v="2"/>
    <m/>
    <n v="408"/>
    <s v="Low"/>
  </r>
  <r>
    <x v="449"/>
    <s v="Sanjay Reddy"/>
    <x v="3"/>
    <x v="4"/>
    <n v="8.09"/>
    <n v="88.9"/>
    <n v="54.6"/>
    <n v="0"/>
    <s v="React, Data Analysis, HTML/CSS, SQL"/>
    <n v="2026"/>
    <x v="0"/>
    <x v="6"/>
    <n v="5.4"/>
    <n v="194"/>
    <s v="High"/>
  </r>
  <r>
    <x v="450"/>
    <s v="Varun Verma"/>
    <x v="1"/>
    <x v="6"/>
    <n v="6.86"/>
    <n v="67.5"/>
    <n v="76.400000000000006"/>
    <n v="1"/>
    <s v="Git, SQL"/>
    <n v="2026"/>
    <x v="1"/>
    <x v="2"/>
    <m/>
    <n v="353"/>
    <s v="Low"/>
  </r>
  <r>
    <x v="451"/>
    <s v="Tanvi Mishra"/>
    <x v="3"/>
    <x v="4"/>
    <n v="6.64"/>
    <n v="88.4"/>
    <n v="80"/>
    <n v="0"/>
    <s v="JavaScript, Data Analysis, HTML/CSS, SQL"/>
    <n v="2026"/>
    <x v="0"/>
    <x v="15"/>
    <n v="8.1"/>
    <n v="382"/>
    <s v="Low"/>
  </r>
  <r>
    <x v="452"/>
    <s v="Divya Shetty"/>
    <x v="1"/>
    <x v="0"/>
    <n v="8.31"/>
    <n v="76.7"/>
    <n v="58.6"/>
    <n v="0"/>
    <s v="Power BI, Data Analysis, JavaScript, Git, HTML/CSS"/>
    <n v="2026"/>
    <x v="0"/>
    <x v="10"/>
    <n v="8.1999999999999993"/>
    <n v="168"/>
    <s v="High"/>
  </r>
  <r>
    <x v="453"/>
    <s v="Aarav Gupta"/>
    <x v="2"/>
    <x v="2"/>
    <n v="7.44"/>
    <n v="91.1"/>
    <n v="91.9"/>
    <n v="0"/>
    <s v="Power BI, Git, Python, React, HTML/CSS"/>
    <n v="2026"/>
    <x v="0"/>
    <x v="4"/>
    <n v="4.8"/>
    <n v="285"/>
    <s v="Medium"/>
  </r>
  <r>
    <x v="454"/>
    <s v="Shreya Mishra"/>
    <x v="2"/>
    <x v="2"/>
    <n v="7.74"/>
    <n v="96.6"/>
    <n v="69.400000000000006"/>
    <n v="1"/>
    <s v="Python, Power BI, Git"/>
    <n v="2025"/>
    <x v="2"/>
    <x v="2"/>
    <m/>
    <n v="242"/>
    <s v="Medium"/>
  </r>
  <r>
    <x v="455"/>
    <s v="Neha Singh"/>
    <x v="1"/>
    <x v="1"/>
    <n v="9.2100000000000009"/>
    <n v="95.5"/>
    <n v="72.3"/>
    <n v="0"/>
    <s v="HTML/CSS, Power BI"/>
    <n v="2027"/>
    <x v="2"/>
    <x v="2"/>
    <m/>
    <n v="61"/>
    <s v="Very High"/>
  </r>
  <r>
    <x v="456"/>
    <s v="Rohan Rao"/>
    <x v="0"/>
    <x v="2"/>
    <n v="9.57"/>
    <n v="85.4"/>
    <n v="56.5"/>
    <n v="0"/>
    <s v="Data Analysis, Git"/>
    <n v="2026"/>
    <x v="2"/>
    <x v="2"/>
    <m/>
    <n v="25"/>
    <s v="Very High"/>
  </r>
  <r>
    <x v="457"/>
    <s v="Aditi Gowda"/>
    <x v="2"/>
    <x v="8"/>
    <n v="9.1300000000000008"/>
    <n v="86"/>
    <n v="87.1"/>
    <n v="0"/>
    <s v="Java, Python, SQL, React, JavaScript"/>
    <n v="2027"/>
    <x v="0"/>
    <x v="12"/>
    <n v="12.5"/>
    <n v="71"/>
    <s v="Very High"/>
  </r>
  <r>
    <x v="458"/>
    <s v="Vikas Patil"/>
    <x v="2"/>
    <x v="3"/>
    <n v="7.07"/>
    <n v="72.8"/>
    <n v="81.400000000000006"/>
    <n v="2"/>
    <s v="HTML/CSS, React, Git"/>
    <n v="2026"/>
    <x v="0"/>
    <x v="3"/>
    <n v="9.6999999999999993"/>
    <n v="328"/>
    <s v="Medium"/>
  </r>
  <r>
    <x v="459"/>
    <s v="Pranav Joshi"/>
    <x v="1"/>
    <x v="6"/>
    <n v="8.01"/>
    <n v="68"/>
    <n v="94.1"/>
    <n v="0"/>
    <s v="Data Analysis, Java"/>
    <n v="2027"/>
    <x v="0"/>
    <x v="3"/>
    <n v="13.6"/>
    <n v="204"/>
    <s v="High"/>
  </r>
  <r>
    <x v="460"/>
    <s v="Nisha Gowda"/>
    <x v="2"/>
    <x v="3"/>
    <n v="9.5500000000000007"/>
    <n v="86.8"/>
    <n v="63.7"/>
    <n v="1"/>
    <s v="React, HTML/CSS, JavaScript"/>
    <n v="2026"/>
    <x v="0"/>
    <x v="4"/>
    <n v="12.1"/>
    <n v="28"/>
    <s v="Very High"/>
  </r>
  <r>
    <x v="461"/>
    <s v="Karan Naik"/>
    <x v="3"/>
    <x v="4"/>
    <n v="8.67"/>
    <n v="91.8"/>
    <n v="87.7"/>
    <n v="1"/>
    <s v="Data Analysis, SQL, HTML/CSS, Java"/>
    <n v="2026"/>
    <x v="1"/>
    <x v="2"/>
    <m/>
    <n v="127"/>
    <s v="High"/>
  </r>
  <r>
    <x v="462"/>
    <s v="Divya Verma"/>
    <x v="0"/>
    <x v="0"/>
    <n v="8.3699999999999992"/>
    <n v="62.7"/>
    <n v="70.400000000000006"/>
    <n v="0"/>
    <s v="JavaScript, Java"/>
    <n v="2026"/>
    <x v="0"/>
    <x v="4"/>
    <n v="4.4000000000000004"/>
    <n v="161"/>
    <s v="High"/>
  </r>
  <r>
    <x v="463"/>
    <s v="Manoj Desai"/>
    <x v="1"/>
    <x v="1"/>
    <n v="8.5399999999999991"/>
    <n v="88.3"/>
    <n v="64.7"/>
    <n v="0"/>
    <s v="Power BI, Python, HTML/CSS"/>
    <n v="2026"/>
    <x v="0"/>
    <x v="6"/>
    <n v="7.2"/>
    <n v="142"/>
    <s v="High"/>
  </r>
  <r>
    <x v="464"/>
    <s v="Manoj Jain"/>
    <x v="1"/>
    <x v="0"/>
    <n v="9.59"/>
    <n v="93.8"/>
    <n v="79.8"/>
    <n v="0"/>
    <s v="React, Java"/>
    <n v="2026"/>
    <x v="2"/>
    <x v="2"/>
    <m/>
    <n v="23"/>
    <s v="Very High"/>
  </r>
  <r>
    <x v="465"/>
    <s v="Vikas Gowda"/>
    <x v="3"/>
    <x v="7"/>
    <n v="6.84"/>
    <n v="58.7"/>
    <n v="66.900000000000006"/>
    <n v="2"/>
    <s v="Excel, Data Analysis"/>
    <n v="2026"/>
    <x v="2"/>
    <x v="2"/>
    <m/>
    <n v="355"/>
    <s v="Low"/>
  </r>
  <r>
    <x v="466"/>
    <s v="Suraj Nair"/>
    <x v="0"/>
    <x v="0"/>
    <n v="8.65"/>
    <n v="63"/>
    <n v="89.6"/>
    <n v="1"/>
    <s v="React, JavaScript, Python, Java"/>
    <n v="2027"/>
    <x v="2"/>
    <x v="2"/>
    <m/>
    <n v="130"/>
    <s v="High"/>
  </r>
  <r>
    <x v="467"/>
    <s v="Manoj Nair"/>
    <x v="3"/>
    <x v="3"/>
    <n v="7.43"/>
    <n v="61.1"/>
    <n v="63.3"/>
    <n v="0"/>
    <s v="Java, HTML/CSS, React, Excel, JavaScript"/>
    <n v="2026"/>
    <x v="1"/>
    <x v="2"/>
    <m/>
    <n v="287"/>
    <s v="Medium"/>
  </r>
  <r>
    <x v="468"/>
    <s v="Varun Jain"/>
    <x v="3"/>
    <x v="7"/>
    <n v="7.49"/>
    <n v="80.099999999999994"/>
    <n v="53.4"/>
    <n v="0"/>
    <s v="HTML/CSS, Java"/>
    <n v="2026"/>
    <x v="0"/>
    <x v="5"/>
    <n v="13.3"/>
    <n v="277"/>
    <s v="Medium"/>
  </r>
  <r>
    <x v="469"/>
    <s v="Neha Naik"/>
    <x v="0"/>
    <x v="0"/>
    <n v="6.81"/>
    <n v="81"/>
    <n v="63.9"/>
    <n v="0"/>
    <s v="Python; Data Analysis; Excel; Power BI"/>
    <n v="2026"/>
    <x v="0"/>
    <x v="13"/>
    <n v="13.2"/>
    <n v="361"/>
    <s v="Low"/>
  </r>
  <r>
    <x v="470"/>
    <s v="Kavya Bhat"/>
    <x v="1"/>
    <x v="0"/>
    <n v="7.07"/>
    <n v="77.3"/>
    <n v="56.5"/>
    <n v="0"/>
    <s v="Python, React"/>
    <n v="2027"/>
    <x v="1"/>
    <x v="2"/>
    <m/>
    <n v="328"/>
    <s v="Medium"/>
  </r>
  <r>
    <x v="471"/>
    <s v="Varun Naik"/>
    <x v="2"/>
    <x v="8"/>
    <n v="8.25"/>
    <n v="87"/>
    <n v="62.1"/>
    <n v="0"/>
    <s v="HTML/CSS, React, Python"/>
    <n v="2026"/>
    <x v="1"/>
    <x v="2"/>
    <m/>
    <n v="176"/>
    <s v="High"/>
  </r>
  <r>
    <x v="472"/>
    <s v="Nikhil Gowda"/>
    <x v="0"/>
    <x v="0"/>
    <n v="6.39"/>
    <n v="64.7"/>
    <n v="51.6"/>
    <n v="0"/>
    <s v="JavaScript, SQL, React, Excel, Java"/>
    <n v="2026"/>
    <x v="2"/>
    <x v="2"/>
    <m/>
    <n v="417"/>
    <s v="Low"/>
  </r>
  <r>
    <x v="473"/>
    <s v="Riya Sharma"/>
    <x v="0"/>
    <x v="5"/>
    <n v="9.27"/>
    <n v="60.2"/>
    <n v="54.3"/>
    <n v="1"/>
    <s v="Python, Data Analysis, Power BI"/>
    <n v="2026"/>
    <x v="2"/>
    <x v="2"/>
    <m/>
    <n v="51"/>
    <s v="Very High"/>
  </r>
  <r>
    <x v="474"/>
    <s v="Vikas Kumar"/>
    <x v="1"/>
    <x v="6"/>
    <n v="9.48"/>
    <n v="65.3"/>
    <n v="72.900000000000006"/>
    <n v="0"/>
    <s v="Excel, Power BI, SQL, Java"/>
    <n v="2026"/>
    <x v="2"/>
    <x v="2"/>
    <m/>
    <n v="33"/>
    <s v="Very High"/>
  </r>
  <r>
    <x v="475"/>
    <s v="Suraj Pillai"/>
    <x v="1"/>
    <x v="0"/>
    <n v="6.12"/>
    <n v="89.9"/>
    <n v="80.3"/>
    <n v="0"/>
    <s v="Git, Excel, HTML/CSS, Data Analysis"/>
    <n v="2026"/>
    <x v="2"/>
    <x v="2"/>
    <m/>
    <n v="439"/>
    <s v="Low"/>
  </r>
  <r>
    <x v="476"/>
    <s v="Yash Desai"/>
    <x v="1"/>
    <x v="0"/>
    <n v="9.25"/>
    <n v="88.7"/>
    <n v="63"/>
    <n v="1"/>
    <s v="Data Analysis, JavaScript"/>
    <n v="2025"/>
    <x v="0"/>
    <x v="0"/>
    <n v="13.6"/>
    <n v="53"/>
    <s v="Very High"/>
  </r>
  <r>
    <x v="477"/>
    <s v="Neha Jain"/>
    <x v="0"/>
    <x v="0"/>
    <n v="9.2100000000000009"/>
    <n v="61.8"/>
    <n v="85.9"/>
    <n v="0"/>
    <s v="SQL, Power BI, React"/>
    <n v="2026"/>
    <x v="2"/>
    <x v="2"/>
    <m/>
    <n v="61"/>
    <s v="Very High"/>
  </r>
  <r>
    <x v="478"/>
    <s v="Sanjay Bhat"/>
    <x v="1"/>
    <x v="6"/>
    <n v="8.4600000000000009"/>
    <n v="89.9"/>
    <n v="73.599999999999994"/>
    <n v="0"/>
    <s v="React, Power BI, JavaScript, Excel, Java"/>
    <n v="2026"/>
    <x v="2"/>
    <x v="2"/>
    <m/>
    <n v="148"/>
    <s v="High"/>
  </r>
  <r>
    <x v="479"/>
    <s v="Ishita Shetty"/>
    <x v="0"/>
    <x v="0"/>
    <n v="7.85"/>
    <n v="95.9"/>
    <n v="81.099999999999994"/>
    <n v="0"/>
    <s v="React, Data Analysis, SQL"/>
    <n v="2026"/>
    <x v="0"/>
    <x v="3"/>
    <n v="11.9"/>
    <n v="220"/>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mpanies">
  <location ref="A20:B37" firstHeaderRow="1" firstDataRow="1" firstDataCol="1"/>
  <pivotFields count="15">
    <pivotField dataField="1"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pivotField showAll="0"/>
    <pivotField showAll="0"/>
    <pivotField showAll="0"/>
    <pivotField showAll="0"/>
    <pivotField showAll="0"/>
    <pivotField showAll="0"/>
    <pivotField showAll="0"/>
    <pivotField showAll="0"/>
    <pivotField axis="axisRow" showAll="0">
      <items count="17">
        <item x="2"/>
        <item x="0"/>
        <item x="11"/>
        <item x="10"/>
        <item x="12"/>
        <item x="6"/>
        <item x="5"/>
        <item x="9"/>
        <item x="15"/>
        <item x="3"/>
        <item x="7"/>
        <item x="1"/>
        <item x="4"/>
        <item x="13"/>
        <item x="14"/>
        <item x="8"/>
        <item t="default"/>
      </items>
    </pivotField>
    <pivotField showAll="0"/>
    <pivotField showAll="0"/>
    <pivotField showAll="0"/>
  </pivotFields>
  <rowFields count="1">
    <field x="11"/>
  </rowFields>
  <rowItems count="17">
    <i>
      <x/>
    </i>
    <i>
      <x v="1"/>
    </i>
    <i>
      <x v="2"/>
    </i>
    <i>
      <x v="3"/>
    </i>
    <i>
      <x v="4"/>
    </i>
    <i>
      <x v="5"/>
    </i>
    <i>
      <x v="6"/>
    </i>
    <i>
      <x v="7"/>
    </i>
    <i>
      <x v="8"/>
    </i>
    <i>
      <x v="9"/>
    </i>
    <i>
      <x v="10"/>
    </i>
    <i>
      <x v="11"/>
    </i>
    <i>
      <x v="12"/>
    </i>
    <i>
      <x v="13"/>
    </i>
    <i>
      <x v="14"/>
    </i>
    <i>
      <x v="15"/>
    </i>
    <i t="grand">
      <x/>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lacement Status">
  <location ref="A3:B7" firstHeaderRow="1" firstDataRow="1" firstDataCol="1"/>
  <pivotFields count="15">
    <pivotField dataField="1" showAll="0"/>
    <pivotField showAll="0"/>
    <pivotField showAll="0">
      <items count="5">
        <item h="1" x="3"/>
        <item h="1" x="2"/>
        <item x="1"/>
        <item h="1" x="0"/>
        <item t="default"/>
      </items>
    </pivotField>
    <pivotField showAll="0">
      <items count="10">
        <item x="8"/>
        <item x="5"/>
        <item x="0"/>
        <item x="3"/>
        <item x="6"/>
        <item x="2"/>
        <item x="7"/>
        <item x="4"/>
        <item x="1"/>
        <item t="default"/>
      </items>
    </pivotField>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s>
  <rowFields count="1">
    <field x="10"/>
  </rowFields>
  <rowItems count="4">
    <i>
      <x/>
    </i>
    <i>
      <x v="1"/>
    </i>
    <i>
      <x v="2"/>
    </i>
    <i t="grand">
      <x/>
    </i>
  </rowItems>
  <colItems count="1">
    <i/>
  </colItems>
  <dataFields count="1">
    <dataField name="Count of Student_ID"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gree" sourceName="Degree">
  <pivotTables>
    <pivotTable tabId="10" name="PivotTable1"/>
  </pivotTables>
  <data>
    <tabular pivotCacheId="1">
      <items count="4">
        <i x="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pecialization" sourceName="Specialization">
  <pivotTables>
    <pivotTable tabId="10" name="PivotTable1"/>
  </pivotTables>
  <data>
    <tabular pivotCacheId="1">
      <items count="9">
        <i x="0" s="1"/>
        <i x="6" s="1"/>
        <i x="1" s="1"/>
        <i x="8" s="1" nd="1"/>
        <i x="5" s="1" nd="1"/>
        <i x="3" s="1" nd="1"/>
        <i x="2" s="1" nd="1"/>
        <i x="7"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lacement_Status" sourceName="Placement_Status">
  <pivotTables>
    <pivotTable tabId="10" name="PivotTable1"/>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gree 1" cache="Slicer_Degree" caption="Degree" rowHeight="241300"/>
  <slicer name="Specialization 1" cache="Slicer_Specialization" caption="Specialization" rowHeight="241300"/>
  <slicer name="Placement_Status 1" cache="Slicer_Placement_Status" caption="Placement_Status" rowHeight="241300"/>
</slicers>
</file>

<file path=xl/tables/table1.xml><?xml version="1.0" encoding="utf-8"?>
<table xmlns="http://schemas.openxmlformats.org/spreadsheetml/2006/main" id="1" name="Table1" displayName="Table1" ref="A1:O481" totalsRowShown="0" headerRowDxfId="22" tableBorderDxfId="21">
  <autoFilter ref="A1:O481"/>
  <tableColumns count="15">
    <tableColumn id="1" name="Student_ID" dataDxfId="20"/>
    <tableColumn id="2" name="Student_Name" dataDxfId="19"/>
    <tableColumn id="3" name="Degree" dataDxfId="18"/>
    <tableColumn id="4" name="Specialization" dataDxfId="17"/>
    <tableColumn id="5" name="CGPA" dataDxfId="16"/>
    <tableColumn id="6" name="10th_Percentage" dataDxfId="15"/>
    <tableColumn id="7" name="12th_Percentage" dataDxfId="14"/>
    <tableColumn id="8" name="Active_Backlogs" dataDxfId="13"/>
    <tableColumn id="9" name="Skills" dataDxfId="12"/>
    <tableColumn id="10" name="Graduation_Year" dataDxfId="11"/>
    <tableColumn id="11" name="Placement_Status" dataDxfId="10"/>
    <tableColumn id="12" name="Company_Placed" dataDxfId="9"/>
    <tableColumn id="13" name="Package_LPA" dataDxfId="8"/>
    <tableColumn id="14" name="Overall_Rank">
      <calculatedColumnFormula>RANK(E2,$E$2:$E$481,0)</calculatedColumnFormula>
    </tableColumn>
    <tableColumn id="15" name="Placement_Chance">
      <calculatedColumnFormula>IF(E2&gt;=9,"Very High",IF(E2&gt;=8,"High",IF(E2&gt;=7,"Medium","Low")))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D13" sqref="D13"/>
    </sheetView>
  </sheetViews>
  <sheetFormatPr defaultRowHeight="15" x14ac:dyDescent="0.25"/>
  <cols>
    <col min="1" max="1" width="26.42578125" customWidth="1"/>
    <col min="2" max="2" width="18.5703125" customWidth="1"/>
    <col min="3" max="3" width="20.5703125" customWidth="1"/>
  </cols>
  <sheetData>
    <row r="1" spans="1:2" ht="23.25" x14ac:dyDescent="0.35">
      <c r="A1" s="24" t="s">
        <v>1297</v>
      </c>
      <c r="B1" s="24"/>
    </row>
    <row r="3" spans="1:2" x14ac:dyDescent="0.25">
      <c r="A3" s="25" t="s">
        <v>1298</v>
      </c>
      <c r="B3" s="25">
        <f>COUNTA(Eligibility_Engine!A8:A1000)</f>
        <v>480</v>
      </c>
    </row>
    <row r="4" spans="1:2" x14ac:dyDescent="0.25">
      <c r="A4" s="25" t="s">
        <v>1299</v>
      </c>
      <c r="B4" s="25">
        <f>COUNTIF(Eligibility_Engine!F8:F1000,"Eligible")</f>
        <v>84</v>
      </c>
    </row>
    <row r="5" spans="1:2" x14ac:dyDescent="0.25">
      <c r="A5" s="25" t="s">
        <v>1300</v>
      </c>
      <c r="B5" s="25">
        <f>COUNTIF(Eligibility_Engine!F8:F1000,"Not Eligible")</f>
        <v>396</v>
      </c>
    </row>
    <row r="6" spans="1:2" x14ac:dyDescent="0.25">
      <c r="A6" s="25" t="s">
        <v>1301</v>
      </c>
      <c r="B6" s="26">
        <f>B4/B3</f>
        <v>0.17499999999999999</v>
      </c>
    </row>
    <row r="8" spans="1:2" x14ac:dyDescent="0.25">
      <c r="A8" s="27" t="s">
        <v>1302</v>
      </c>
      <c r="B8" s="27" t="str">
        <f>Eligibility_Engine!B3</f>
        <v>Deloitte</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6"/>
  <sheetViews>
    <sheetView tabSelected="1" workbookViewId="0">
      <selection activeCell="H29" sqref="H29"/>
    </sheetView>
  </sheetViews>
  <sheetFormatPr defaultRowHeight="15" x14ac:dyDescent="0.25"/>
  <cols>
    <col min="1" max="1" width="79.28515625" customWidth="1"/>
    <col min="2" max="2" width="12.42578125" customWidth="1"/>
    <col min="4" max="4" width="14.85546875" customWidth="1"/>
    <col min="5" max="5" width="12.7109375" customWidth="1"/>
    <col min="7" max="7" width="9.140625" customWidth="1"/>
    <col min="8" max="8" width="18.42578125" customWidth="1"/>
    <col min="9" max="9" width="40.140625" customWidth="1"/>
  </cols>
  <sheetData>
    <row r="2" spans="1:9" ht="23.25" x14ac:dyDescent="0.35">
      <c r="A2" s="23" t="s">
        <v>1303</v>
      </c>
      <c r="B2" s="23"/>
      <c r="C2" s="23"/>
      <c r="D2" s="23"/>
      <c r="E2" s="23"/>
      <c r="F2" s="23"/>
      <c r="H2" s="22" t="s">
        <v>1309</v>
      </c>
      <c r="I2" s="22"/>
    </row>
    <row r="4" spans="1:9" x14ac:dyDescent="0.25">
      <c r="H4" t="s">
        <v>1310</v>
      </c>
      <c r="I4" t="s">
        <v>60</v>
      </c>
    </row>
    <row r="5" spans="1:9" x14ac:dyDescent="0.25">
      <c r="A5" s="14" t="s">
        <v>1302</v>
      </c>
      <c r="B5" s="14" t="str">
        <f>Analysis!B8</f>
        <v>Deloitte</v>
      </c>
      <c r="D5" s="14" t="s">
        <v>1304</v>
      </c>
      <c r="E5" s="14" t="s">
        <v>1305</v>
      </c>
    </row>
    <row r="6" spans="1:9" x14ac:dyDescent="0.25">
      <c r="A6" s="14"/>
      <c r="B6" s="14"/>
      <c r="D6" s="14" t="s">
        <v>1289</v>
      </c>
      <c r="E6" s="15">
        <f>B9</f>
        <v>84</v>
      </c>
      <c r="H6" t="s">
        <v>1311</v>
      </c>
      <c r="I6" t="str">
        <f>VLOOKUP(I4,Student_Master!A:M,2,FALSE)</f>
        <v>Ishita Desai</v>
      </c>
    </row>
    <row r="7" spans="1:9" x14ac:dyDescent="0.25">
      <c r="A7" s="14" t="s">
        <v>1298</v>
      </c>
      <c r="B7" s="14">
        <f>Analysis!B3</f>
        <v>480</v>
      </c>
      <c r="D7" s="14" t="s">
        <v>1306</v>
      </c>
      <c r="E7" s="15">
        <f>B11</f>
        <v>396</v>
      </c>
      <c r="H7" t="s">
        <v>2</v>
      </c>
      <c r="I7" t="str">
        <f>VLOOKUP(I4,Student_Master!A:M,3,FALSE)</f>
        <v>MCA</v>
      </c>
    </row>
    <row r="8" spans="1:9" x14ac:dyDescent="0.25">
      <c r="A8" s="14"/>
      <c r="B8" s="14"/>
      <c r="H8" t="s">
        <v>4</v>
      </c>
      <c r="I8">
        <f>VLOOKUP(I4,Student_Master!A:M,5,FALSE)</f>
        <v>8.86</v>
      </c>
    </row>
    <row r="9" spans="1:9" x14ac:dyDescent="0.25">
      <c r="A9" s="14" t="s">
        <v>1299</v>
      </c>
      <c r="B9" s="14">
        <f>Analysis!B4</f>
        <v>84</v>
      </c>
      <c r="H9" t="s">
        <v>1288</v>
      </c>
      <c r="I9">
        <f>VLOOKUP(I4,Student_Master!A:M,8,FALSE)</f>
        <v>0</v>
      </c>
    </row>
    <row r="10" spans="1:9" x14ac:dyDescent="0.25">
      <c r="A10" s="14"/>
      <c r="B10" s="14"/>
      <c r="D10" s="14" t="s">
        <v>1307</v>
      </c>
      <c r="E10" s="14" t="s">
        <v>1308</v>
      </c>
      <c r="H10" t="s">
        <v>8</v>
      </c>
      <c r="I10" t="str">
        <f>VLOOKUP(I4,Student_Master!A:M,9,FALSE)</f>
        <v>Data Analysis, JavaScript, Java, Power BI</v>
      </c>
    </row>
    <row r="11" spans="1:9" x14ac:dyDescent="0.25">
      <c r="A11" s="14" t="s">
        <v>1300</v>
      </c>
      <c r="B11" s="14">
        <f>Analysis!B5</f>
        <v>396</v>
      </c>
      <c r="D11" s="14" t="s">
        <v>1298</v>
      </c>
      <c r="E11" s="15">
        <f>B7</f>
        <v>480</v>
      </c>
      <c r="H11" t="s">
        <v>1312</v>
      </c>
      <c r="I11" t="str">
        <f>VLOOKUP(I4,Eligibility_Engine!A:G,6,FALSE)</f>
        <v>Eligible</v>
      </c>
    </row>
    <row r="12" spans="1:9" x14ac:dyDescent="0.25">
      <c r="A12" s="14"/>
      <c r="B12" s="14"/>
      <c r="D12" s="14" t="s">
        <v>1289</v>
      </c>
      <c r="E12" s="15">
        <f>B9</f>
        <v>84</v>
      </c>
      <c r="H12" t="s">
        <v>1290</v>
      </c>
      <c r="I12" t="str">
        <f>VLOOKUP(I4,Eligibility_Engine!A:G,7,FALSE)</f>
        <v>Eligible</v>
      </c>
    </row>
    <row r="13" spans="1:9" x14ac:dyDescent="0.25">
      <c r="A13" s="14" t="s">
        <v>1301</v>
      </c>
      <c r="B13" s="17">
        <f>Analysis!B6</f>
        <v>0.17499999999999999</v>
      </c>
      <c r="D13" s="14" t="s">
        <v>1306</v>
      </c>
      <c r="E13" s="15">
        <f>B11</f>
        <v>396</v>
      </c>
    </row>
    <row r="14" spans="1:9" x14ac:dyDescent="0.25">
      <c r="D14" s="14" t="s">
        <v>1301</v>
      </c>
      <c r="E14" s="16">
        <f>B13</f>
        <v>0.17499999999999999</v>
      </c>
    </row>
    <row r="16" spans="1:9" x14ac:dyDescent="0.25">
      <c r="A16" s="13"/>
    </row>
  </sheetData>
  <mergeCells count="2">
    <mergeCell ref="H2:I2"/>
    <mergeCell ref="A2:F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Student_Master!$A$2:$A$481</xm:f>
          </x14:formula1>
          <xm:sqref>I4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1"/>
  <sheetViews>
    <sheetView topLeftCell="A14" workbookViewId="0">
      <selection activeCell="D25" sqref="D25"/>
    </sheetView>
  </sheetViews>
  <sheetFormatPr defaultRowHeight="15" x14ac:dyDescent="0.25"/>
  <cols>
    <col min="1" max="1" width="13.140625" bestFit="1" customWidth="1"/>
    <col min="2" max="2" width="16.7109375" bestFit="1" customWidth="1"/>
    <col min="3" max="3" width="9.7109375" bestFit="1" customWidth="1"/>
    <col min="4" max="4" width="24.5703125" bestFit="1" customWidth="1"/>
    <col min="5" max="5" width="8.28515625" customWidth="1"/>
    <col min="6" max="7" width="18.28515625" bestFit="1" customWidth="1"/>
    <col min="8" max="8" width="17.5703125" bestFit="1" customWidth="1"/>
    <col min="9" max="9" width="49.7109375" bestFit="1" customWidth="1"/>
    <col min="10" max="10" width="18.42578125" bestFit="1" customWidth="1"/>
    <col min="11" max="11" width="19.28515625" bestFit="1" customWidth="1"/>
    <col min="12" max="12" width="18.5703125" bestFit="1" customWidth="1"/>
    <col min="13" max="13" width="14.7109375" bestFit="1" customWidth="1"/>
    <col min="14" max="14" width="16" customWidth="1"/>
    <col min="15" max="15" width="20" customWidth="1"/>
  </cols>
  <sheetData>
    <row r="1" spans="1:15" x14ac:dyDescent="0.25">
      <c r="A1" s="2" t="s">
        <v>0</v>
      </c>
      <c r="B1" s="2" t="s">
        <v>1</v>
      </c>
      <c r="C1" s="2" t="s">
        <v>2</v>
      </c>
      <c r="D1" s="2" t="s">
        <v>3</v>
      </c>
      <c r="E1" s="2" t="s">
        <v>4</v>
      </c>
      <c r="F1" s="2" t="s">
        <v>5</v>
      </c>
      <c r="G1" s="2" t="s">
        <v>6</v>
      </c>
      <c r="H1" s="2" t="s">
        <v>7</v>
      </c>
      <c r="I1" s="2" t="s">
        <v>8</v>
      </c>
      <c r="J1" s="2" t="s">
        <v>9</v>
      </c>
      <c r="K1" s="2" t="s">
        <v>10</v>
      </c>
      <c r="L1" s="2" t="s">
        <v>11</v>
      </c>
      <c r="M1" s="3" t="s">
        <v>12</v>
      </c>
      <c r="N1" s="18" t="s">
        <v>1313</v>
      </c>
      <c r="O1" s="18" t="s">
        <v>1314</v>
      </c>
    </row>
    <row r="2" spans="1:15" x14ac:dyDescent="0.25">
      <c r="A2" s="5" t="s">
        <v>13</v>
      </c>
      <c r="B2" s="5" t="s">
        <v>14</v>
      </c>
      <c r="C2" s="5" t="s">
        <v>15</v>
      </c>
      <c r="D2" s="5" t="s">
        <v>16</v>
      </c>
      <c r="E2" s="5">
        <v>8.77</v>
      </c>
      <c r="F2" s="5">
        <v>65.3</v>
      </c>
      <c r="G2" s="5">
        <v>56.4</v>
      </c>
      <c r="H2" s="5">
        <v>0</v>
      </c>
      <c r="I2" s="5" t="s">
        <v>17</v>
      </c>
      <c r="J2" s="5">
        <v>2025</v>
      </c>
      <c r="K2" s="5" t="s">
        <v>18</v>
      </c>
      <c r="L2" s="5" t="s">
        <v>19</v>
      </c>
      <c r="M2" s="6">
        <v>8.6999999999999993</v>
      </c>
      <c r="N2">
        <f>RANK(E2,$E$2:$E$481,0)</f>
        <v>112</v>
      </c>
      <c r="O2" t="str">
        <f>IF(E2&gt;=9,"Very High",IF(E2&gt;=8,"High",IF(E2&gt;=7,"Medium","Low")))</f>
        <v>High</v>
      </c>
    </row>
    <row r="3" spans="1:15" x14ac:dyDescent="0.25">
      <c r="A3" s="5" t="s">
        <v>20</v>
      </c>
      <c r="B3" s="8" t="s">
        <v>21</v>
      </c>
      <c r="C3" s="8" t="s">
        <v>22</v>
      </c>
      <c r="D3" s="8" t="s">
        <v>23</v>
      </c>
      <c r="E3" s="8">
        <v>8.4</v>
      </c>
      <c r="F3" s="8">
        <v>77.900000000000006</v>
      </c>
      <c r="G3" s="8">
        <v>60.1</v>
      </c>
      <c r="H3" s="8">
        <v>0</v>
      </c>
      <c r="I3" s="8" t="s">
        <v>24</v>
      </c>
      <c r="J3" s="8">
        <v>2026</v>
      </c>
      <c r="K3" s="8" t="s">
        <v>18</v>
      </c>
      <c r="L3" s="8" t="s">
        <v>25</v>
      </c>
      <c r="M3" s="9">
        <v>6.8</v>
      </c>
      <c r="N3">
        <f t="shared" ref="N3:N66" si="0">RANK(E3,$E$2:$E$481,0)</f>
        <v>156</v>
      </c>
      <c r="O3" t="str">
        <f t="shared" ref="O3:O66" si="1">IF(E3&gt;=9,"Very High",IF(E3&gt;=8,"High",IF(E3&gt;=7,"Medium","Low")))</f>
        <v>High</v>
      </c>
    </row>
    <row r="4" spans="1:15" x14ac:dyDescent="0.25">
      <c r="A4" s="5" t="s">
        <v>26</v>
      </c>
      <c r="B4" s="5" t="s">
        <v>27</v>
      </c>
      <c r="C4" s="5" t="s">
        <v>15</v>
      </c>
      <c r="D4" s="5" t="s">
        <v>28</v>
      </c>
      <c r="E4" s="5">
        <v>9.19</v>
      </c>
      <c r="F4" s="5">
        <v>80.400000000000006</v>
      </c>
      <c r="G4" s="5">
        <v>87.1</v>
      </c>
      <c r="H4" s="5">
        <v>0</v>
      </c>
      <c r="I4" s="5" t="s">
        <v>29</v>
      </c>
      <c r="J4" s="5">
        <v>2026</v>
      </c>
      <c r="K4" s="5" t="s">
        <v>30</v>
      </c>
      <c r="L4" s="5" t="s">
        <v>79</v>
      </c>
      <c r="M4" s="6"/>
      <c r="N4">
        <f t="shared" si="0"/>
        <v>65</v>
      </c>
      <c r="O4" t="str">
        <f t="shared" si="1"/>
        <v>Very High</v>
      </c>
    </row>
    <row r="5" spans="1:15" x14ac:dyDescent="0.25">
      <c r="A5" s="5" t="s">
        <v>31</v>
      </c>
      <c r="B5" s="8" t="s">
        <v>32</v>
      </c>
      <c r="C5" s="8" t="s">
        <v>22</v>
      </c>
      <c r="D5" s="8" t="s">
        <v>23</v>
      </c>
      <c r="E5" s="8">
        <v>6.08</v>
      </c>
      <c r="F5" s="8">
        <v>82.8</v>
      </c>
      <c r="G5" s="8">
        <v>85.6</v>
      </c>
      <c r="H5" s="8">
        <v>3</v>
      </c>
      <c r="I5" s="8" t="s">
        <v>33</v>
      </c>
      <c r="J5" s="8">
        <v>2026</v>
      </c>
      <c r="K5" s="8" t="s">
        <v>34</v>
      </c>
      <c r="L5" s="8" t="s">
        <v>79</v>
      </c>
      <c r="M5" s="9"/>
      <c r="N5">
        <f t="shared" si="0"/>
        <v>445</v>
      </c>
      <c r="O5" t="str">
        <f t="shared" si="1"/>
        <v>Low</v>
      </c>
    </row>
    <row r="6" spans="1:15" x14ac:dyDescent="0.25">
      <c r="A6" s="5" t="s">
        <v>35</v>
      </c>
      <c r="B6" s="5" t="s">
        <v>36</v>
      </c>
      <c r="C6" s="5" t="s">
        <v>22</v>
      </c>
      <c r="D6" s="5" t="s">
        <v>23</v>
      </c>
      <c r="E6" s="5">
        <v>6.87</v>
      </c>
      <c r="F6" s="5">
        <v>94.3</v>
      </c>
      <c r="G6" s="5">
        <v>79.8</v>
      </c>
      <c r="H6" s="5">
        <v>0</v>
      </c>
      <c r="I6" s="5" t="s">
        <v>37</v>
      </c>
      <c r="J6" s="5">
        <v>2026</v>
      </c>
      <c r="K6" s="5" t="s">
        <v>18</v>
      </c>
      <c r="L6" s="5" t="s">
        <v>38</v>
      </c>
      <c r="M6" s="6">
        <v>10.1</v>
      </c>
      <c r="N6">
        <f t="shared" si="0"/>
        <v>351</v>
      </c>
      <c r="O6" t="str">
        <f t="shared" si="1"/>
        <v>Low</v>
      </c>
    </row>
    <row r="7" spans="1:15" x14ac:dyDescent="0.25">
      <c r="A7" s="5" t="s">
        <v>39</v>
      </c>
      <c r="B7" s="8" t="s">
        <v>40</v>
      </c>
      <c r="C7" s="8" t="s">
        <v>41</v>
      </c>
      <c r="D7" s="8" t="s">
        <v>42</v>
      </c>
      <c r="E7" s="8">
        <v>6.72</v>
      </c>
      <c r="F7" s="8">
        <v>56.3</v>
      </c>
      <c r="G7" s="8">
        <v>64.5</v>
      </c>
      <c r="H7" s="8">
        <v>0</v>
      </c>
      <c r="I7" s="8" t="s">
        <v>43</v>
      </c>
      <c r="J7" s="8">
        <v>2026</v>
      </c>
      <c r="K7" s="8" t="s">
        <v>30</v>
      </c>
      <c r="L7" s="8" t="s">
        <v>79</v>
      </c>
      <c r="M7" s="9"/>
      <c r="N7">
        <f t="shared" si="0"/>
        <v>371</v>
      </c>
      <c r="O7" t="str">
        <f t="shared" si="1"/>
        <v>Low</v>
      </c>
    </row>
    <row r="8" spans="1:15" x14ac:dyDescent="0.25">
      <c r="A8" s="5" t="s">
        <v>44</v>
      </c>
      <c r="B8" s="5" t="s">
        <v>45</v>
      </c>
      <c r="C8" s="5" t="s">
        <v>41</v>
      </c>
      <c r="D8" s="5" t="s">
        <v>46</v>
      </c>
      <c r="E8" s="5">
        <v>6.79</v>
      </c>
      <c r="F8" s="5">
        <v>78.599999999999994</v>
      </c>
      <c r="G8" s="5">
        <v>62.1</v>
      </c>
      <c r="H8" s="5">
        <v>0</v>
      </c>
      <c r="I8" s="5" t="s">
        <v>47</v>
      </c>
      <c r="J8" s="5">
        <v>2025</v>
      </c>
      <c r="K8" s="5" t="s">
        <v>18</v>
      </c>
      <c r="L8" s="5" t="s">
        <v>48</v>
      </c>
      <c r="M8" s="6">
        <v>4.9000000000000004</v>
      </c>
      <c r="N8">
        <f t="shared" si="0"/>
        <v>364</v>
      </c>
      <c r="O8" t="str">
        <f t="shared" si="1"/>
        <v>Low</v>
      </c>
    </row>
    <row r="9" spans="1:15" x14ac:dyDescent="0.25">
      <c r="A9" s="5" t="s">
        <v>49</v>
      </c>
      <c r="B9" s="8" t="s">
        <v>50</v>
      </c>
      <c r="C9" s="8" t="s">
        <v>15</v>
      </c>
      <c r="D9" s="8" t="s">
        <v>28</v>
      </c>
      <c r="E9" s="8">
        <v>7.33</v>
      </c>
      <c r="F9" s="8">
        <v>96.8</v>
      </c>
      <c r="G9" s="8">
        <v>74.3</v>
      </c>
      <c r="H9" s="8">
        <v>2</v>
      </c>
      <c r="I9" s="8" t="s">
        <v>51</v>
      </c>
      <c r="J9" s="8">
        <v>2026</v>
      </c>
      <c r="K9" s="8" t="s">
        <v>34</v>
      </c>
      <c r="L9" s="8" t="s">
        <v>79</v>
      </c>
      <c r="M9" s="9"/>
      <c r="N9">
        <f t="shared" si="0"/>
        <v>297</v>
      </c>
      <c r="O9" t="str">
        <f t="shared" si="1"/>
        <v>Medium</v>
      </c>
    </row>
    <row r="10" spans="1:15" x14ac:dyDescent="0.25">
      <c r="A10" s="5" t="s">
        <v>52</v>
      </c>
      <c r="B10" s="5" t="s">
        <v>53</v>
      </c>
      <c r="C10" s="5" t="s">
        <v>54</v>
      </c>
      <c r="D10" s="5" t="s">
        <v>42</v>
      </c>
      <c r="E10" s="5">
        <v>7.61</v>
      </c>
      <c r="F10" s="5">
        <v>95.1</v>
      </c>
      <c r="G10" s="5">
        <v>90.3</v>
      </c>
      <c r="H10" s="5">
        <v>0</v>
      </c>
      <c r="I10" s="5" t="s">
        <v>55</v>
      </c>
      <c r="J10" s="5">
        <v>2026</v>
      </c>
      <c r="K10" s="5" t="s">
        <v>34</v>
      </c>
      <c r="L10" s="5" t="s">
        <v>79</v>
      </c>
      <c r="M10" s="6"/>
      <c r="N10">
        <f t="shared" si="0"/>
        <v>257</v>
      </c>
      <c r="O10" t="str">
        <f t="shared" si="1"/>
        <v>Medium</v>
      </c>
    </row>
    <row r="11" spans="1:15" x14ac:dyDescent="0.25">
      <c r="A11" s="5" t="s">
        <v>56</v>
      </c>
      <c r="B11" s="8" t="s">
        <v>57</v>
      </c>
      <c r="C11" s="8" t="s">
        <v>22</v>
      </c>
      <c r="D11" s="8" t="s">
        <v>23</v>
      </c>
      <c r="E11" s="8">
        <v>9.61</v>
      </c>
      <c r="F11" s="8">
        <v>93.7</v>
      </c>
      <c r="G11" s="8">
        <v>92.3</v>
      </c>
      <c r="H11" s="8">
        <v>0</v>
      </c>
      <c r="I11" s="8" t="s">
        <v>58</v>
      </c>
      <c r="J11" s="8">
        <v>2026</v>
      </c>
      <c r="K11" s="8" t="s">
        <v>18</v>
      </c>
      <c r="L11" s="8" t="s">
        <v>59</v>
      </c>
      <c r="M11" s="9">
        <v>13.4</v>
      </c>
      <c r="N11">
        <f t="shared" si="0"/>
        <v>19</v>
      </c>
      <c r="O11" t="str">
        <f t="shared" si="1"/>
        <v>Very High</v>
      </c>
    </row>
    <row r="12" spans="1:15" x14ac:dyDescent="0.25">
      <c r="A12" s="5" t="s">
        <v>60</v>
      </c>
      <c r="B12" s="5" t="s">
        <v>61</v>
      </c>
      <c r="C12" s="5" t="s">
        <v>15</v>
      </c>
      <c r="D12" s="5" t="s">
        <v>62</v>
      </c>
      <c r="E12" s="5">
        <v>8.86</v>
      </c>
      <c r="F12" s="5">
        <v>60.4</v>
      </c>
      <c r="G12" s="5">
        <v>71.900000000000006</v>
      </c>
      <c r="H12" s="5">
        <v>0</v>
      </c>
      <c r="I12" s="5" t="s">
        <v>63</v>
      </c>
      <c r="J12" s="5">
        <v>2026</v>
      </c>
      <c r="K12" s="5" t="s">
        <v>30</v>
      </c>
      <c r="L12" s="5" t="s">
        <v>79</v>
      </c>
      <c r="M12" s="6"/>
      <c r="N12">
        <f t="shared" si="0"/>
        <v>93</v>
      </c>
      <c r="O12" t="str">
        <f t="shared" si="1"/>
        <v>High</v>
      </c>
    </row>
    <row r="13" spans="1:15" x14ac:dyDescent="0.25">
      <c r="A13" s="5" t="s">
        <v>64</v>
      </c>
      <c r="B13" s="8" t="s">
        <v>65</v>
      </c>
      <c r="C13" s="8" t="s">
        <v>41</v>
      </c>
      <c r="D13" s="8" t="s">
        <v>28</v>
      </c>
      <c r="E13" s="8">
        <v>9.4</v>
      </c>
      <c r="F13" s="8">
        <v>74</v>
      </c>
      <c r="G13" s="8">
        <v>61.4</v>
      </c>
      <c r="H13" s="8">
        <v>0</v>
      </c>
      <c r="I13" s="8" t="s">
        <v>66</v>
      </c>
      <c r="J13" s="8">
        <v>2026</v>
      </c>
      <c r="K13" s="8" t="s">
        <v>18</v>
      </c>
      <c r="L13" s="8" t="s">
        <v>48</v>
      </c>
      <c r="M13" s="9">
        <v>10.8</v>
      </c>
      <c r="N13">
        <f t="shared" si="0"/>
        <v>39</v>
      </c>
      <c r="O13" t="str">
        <f t="shared" si="1"/>
        <v>Very High</v>
      </c>
    </row>
    <row r="14" spans="1:15" x14ac:dyDescent="0.25">
      <c r="A14" s="5" t="s">
        <v>67</v>
      </c>
      <c r="B14" s="5" t="s">
        <v>68</v>
      </c>
      <c r="C14" s="5" t="s">
        <v>15</v>
      </c>
      <c r="D14" s="5" t="s">
        <v>16</v>
      </c>
      <c r="E14" s="5">
        <v>9.24</v>
      </c>
      <c r="F14" s="5">
        <v>58</v>
      </c>
      <c r="G14" s="5">
        <v>60.9</v>
      </c>
      <c r="H14" s="5">
        <v>0</v>
      </c>
      <c r="I14" s="5" t="s">
        <v>69</v>
      </c>
      <c r="J14" s="5">
        <v>2026</v>
      </c>
      <c r="K14" s="5" t="s">
        <v>18</v>
      </c>
      <c r="L14" s="5" t="s">
        <v>70</v>
      </c>
      <c r="M14" s="6">
        <v>5.3</v>
      </c>
      <c r="N14">
        <f t="shared" si="0"/>
        <v>54</v>
      </c>
      <c r="O14" t="str">
        <f t="shared" si="1"/>
        <v>Very High</v>
      </c>
    </row>
    <row r="15" spans="1:15" x14ac:dyDescent="0.25">
      <c r="A15" s="5" t="s">
        <v>71</v>
      </c>
      <c r="B15" s="8" t="s">
        <v>72</v>
      </c>
      <c r="C15" s="8" t="s">
        <v>41</v>
      </c>
      <c r="D15" s="8" t="s">
        <v>28</v>
      </c>
      <c r="E15" s="8">
        <v>7.44</v>
      </c>
      <c r="F15" s="8">
        <v>91.3</v>
      </c>
      <c r="G15" s="8">
        <v>52.5</v>
      </c>
      <c r="H15" s="8">
        <v>0</v>
      </c>
      <c r="I15" s="8" t="s">
        <v>73</v>
      </c>
      <c r="J15" s="8">
        <v>2026</v>
      </c>
      <c r="K15" s="8" t="s">
        <v>34</v>
      </c>
      <c r="L15" s="8" t="s">
        <v>79</v>
      </c>
      <c r="M15" s="9"/>
      <c r="N15">
        <f t="shared" si="0"/>
        <v>285</v>
      </c>
      <c r="O15" t="str">
        <f t="shared" si="1"/>
        <v>Medium</v>
      </c>
    </row>
    <row r="16" spans="1:15" x14ac:dyDescent="0.25">
      <c r="A16" s="5" t="s">
        <v>74</v>
      </c>
      <c r="B16" s="5" t="s">
        <v>75</v>
      </c>
      <c r="C16" s="5" t="s">
        <v>22</v>
      </c>
      <c r="D16" s="5" t="s">
        <v>23</v>
      </c>
      <c r="E16" s="5">
        <v>7.59</v>
      </c>
      <c r="F16" s="5">
        <v>72.7</v>
      </c>
      <c r="G16" s="5">
        <v>62.8</v>
      </c>
      <c r="H16" s="5">
        <v>0</v>
      </c>
      <c r="I16" s="5" t="s">
        <v>76</v>
      </c>
      <c r="J16" s="5">
        <v>2025</v>
      </c>
      <c r="K16" s="5" t="s">
        <v>30</v>
      </c>
      <c r="L16" s="5" t="s">
        <v>79</v>
      </c>
      <c r="M16" s="6"/>
      <c r="N16">
        <f t="shared" si="0"/>
        <v>262</v>
      </c>
      <c r="O16" t="str">
        <f t="shared" si="1"/>
        <v>Medium</v>
      </c>
    </row>
    <row r="17" spans="1:15" x14ac:dyDescent="0.25">
      <c r="A17" s="5" t="s">
        <v>77</v>
      </c>
      <c r="B17" s="8" t="s">
        <v>78</v>
      </c>
      <c r="C17" s="8" t="s">
        <v>15</v>
      </c>
      <c r="D17" s="8" t="s">
        <v>16</v>
      </c>
      <c r="E17" s="8">
        <v>6.47</v>
      </c>
      <c r="F17" s="8">
        <v>75.400000000000006</v>
      </c>
      <c r="G17" s="8">
        <v>59.8</v>
      </c>
      <c r="H17" s="8">
        <v>0</v>
      </c>
      <c r="I17" s="8" t="s">
        <v>24</v>
      </c>
      <c r="J17" s="8">
        <v>2025</v>
      </c>
      <c r="K17" s="8" t="s">
        <v>34</v>
      </c>
      <c r="L17" s="8" t="s">
        <v>79</v>
      </c>
      <c r="M17" s="9"/>
      <c r="N17">
        <f t="shared" si="0"/>
        <v>410</v>
      </c>
      <c r="O17" t="str">
        <f t="shared" si="1"/>
        <v>Low</v>
      </c>
    </row>
    <row r="18" spans="1:15" x14ac:dyDescent="0.25">
      <c r="A18" s="5" t="s">
        <v>80</v>
      </c>
      <c r="B18" s="5" t="s">
        <v>81</v>
      </c>
      <c r="C18" s="5" t="s">
        <v>54</v>
      </c>
      <c r="D18" s="5" t="s">
        <v>42</v>
      </c>
      <c r="E18" s="5">
        <v>6.56</v>
      </c>
      <c r="F18" s="5">
        <v>64.099999999999994</v>
      </c>
      <c r="G18" s="5">
        <v>52.7</v>
      </c>
      <c r="H18" s="5">
        <v>0</v>
      </c>
      <c r="I18" s="5" t="s">
        <v>82</v>
      </c>
      <c r="J18" s="5">
        <v>2025</v>
      </c>
      <c r="K18" s="5" t="s">
        <v>30</v>
      </c>
      <c r="L18" s="5" t="s">
        <v>79</v>
      </c>
      <c r="M18" s="6"/>
      <c r="N18">
        <f t="shared" si="0"/>
        <v>394</v>
      </c>
      <c r="O18" t="str">
        <f t="shared" si="1"/>
        <v>Low</v>
      </c>
    </row>
    <row r="19" spans="1:15" x14ac:dyDescent="0.25">
      <c r="A19" s="5" t="s">
        <v>83</v>
      </c>
      <c r="B19" s="8" t="s">
        <v>84</v>
      </c>
      <c r="C19" s="8" t="s">
        <v>15</v>
      </c>
      <c r="D19" s="8" t="s">
        <v>16</v>
      </c>
      <c r="E19" s="8">
        <v>6.07</v>
      </c>
      <c r="F19" s="8">
        <v>57.9</v>
      </c>
      <c r="G19" s="8">
        <v>89.6</v>
      </c>
      <c r="H19" s="8">
        <v>0</v>
      </c>
      <c r="I19" s="8" t="s">
        <v>85</v>
      </c>
      <c r="J19" s="8">
        <v>2026</v>
      </c>
      <c r="K19" s="8" t="s">
        <v>30</v>
      </c>
      <c r="L19" s="8" t="s">
        <v>79</v>
      </c>
      <c r="M19" s="9"/>
      <c r="N19">
        <f t="shared" si="0"/>
        <v>447</v>
      </c>
      <c r="O19" t="str">
        <f t="shared" si="1"/>
        <v>Low</v>
      </c>
    </row>
    <row r="20" spans="1:15" x14ac:dyDescent="0.25">
      <c r="A20" s="5" t="s">
        <v>86</v>
      </c>
      <c r="B20" s="5" t="s">
        <v>87</v>
      </c>
      <c r="C20" s="5" t="s">
        <v>22</v>
      </c>
      <c r="D20" s="5" t="s">
        <v>23</v>
      </c>
      <c r="E20" s="5">
        <v>8.66</v>
      </c>
      <c r="F20" s="5">
        <v>65</v>
      </c>
      <c r="G20" s="5">
        <v>68.2</v>
      </c>
      <c r="H20" s="5">
        <v>0</v>
      </c>
      <c r="I20" s="5" t="s">
        <v>88</v>
      </c>
      <c r="J20" s="5">
        <v>2026</v>
      </c>
      <c r="K20" s="5" t="s">
        <v>34</v>
      </c>
      <c r="L20" s="5" t="s">
        <v>79</v>
      </c>
      <c r="M20" s="6"/>
      <c r="N20">
        <f t="shared" si="0"/>
        <v>128</v>
      </c>
      <c r="O20" t="str">
        <f t="shared" si="1"/>
        <v>High</v>
      </c>
    </row>
    <row r="21" spans="1:15" x14ac:dyDescent="0.25">
      <c r="A21" s="5" t="s">
        <v>89</v>
      </c>
      <c r="B21" s="8" t="s">
        <v>90</v>
      </c>
      <c r="C21" s="8" t="s">
        <v>22</v>
      </c>
      <c r="D21" s="8" t="s">
        <v>23</v>
      </c>
      <c r="E21" s="8">
        <v>6.86</v>
      </c>
      <c r="F21" s="8">
        <v>94.2</v>
      </c>
      <c r="G21" s="8">
        <v>90.5</v>
      </c>
      <c r="H21" s="8">
        <v>1</v>
      </c>
      <c r="I21" s="8" t="s">
        <v>91</v>
      </c>
      <c r="J21" s="8">
        <v>2026</v>
      </c>
      <c r="K21" s="8" t="s">
        <v>30</v>
      </c>
      <c r="L21" s="8" t="s">
        <v>79</v>
      </c>
      <c r="M21" s="9"/>
      <c r="N21">
        <f t="shared" si="0"/>
        <v>353</v>
      </c>
      <c r="O21" t="str">
        <f t="shared" si="1"/>
        <v>Low</v>
      </c>
    </row>
    <row r="22" spans="1:15" x14ac:dyDescent="0.25">
      <c r="A22" s="5" t="s">
        <v>92</v>
      </c>
      <c r="B22" s="5" t="s">
        <v>93</v>
      </c>
      <c r="C22" s="5" t="s">
        <v>41</v>
      </c>
      <c r="D22" s="5" t="s">
        <v>42</v>
      </c>
      <c r="E22" s="5">
        <v>9.56</v>
      </c>
      <c r="F22" s="5">
        <v>60.6</v>
      </c>
      <c r="G22" s="5">
        <v>55.3</v>
      </c>
      <c r="H22" s="5">
        <v>0</v>
      </c>
      <c r="I22" s="5" t="s">
        <v>94</v>
      </c>
      <c r="J22" s="5">
        <v>2026</v>
      </c>
      <c r="K22" s="5" t="s">
        <v>18</v>
      </c>
      <c r="L22" s="5" t="s">
        <v>95</v>
      </c>
      <c r="M22" s="6">
        <v>12.4</v>
      </c>
      <c r="N22">
        <f t="shared" si="0"/>
        <v>26</v>
      </c>
      <c r="O22" t="str">
        <f t="shared" si="1"/>
        <v>Very High</v>
      </c>
    </row>
    <row r="23" spans="1:15" x14ac:dyDescent="0.25">
      <c r="A23" s="5" t="s">
        <v>96</v>
      </c>
      <c r="B23" s="8" t="s">
        <v>97</v>
      </c>
      <c r="C23" s="8" t="s">
        <v>41</v>
      </c>
      <c r="D23" s="8" t="s">
        <v>42</v>
      </c>
      <c r="E23" s="8">
        <v>6.17</v>
      </c>
      <c r="F23" s="8">
        <v>72.8</v>
      </c>
      <c r="G23" s="8">
        <v>62.7</v>
      </c>
      <c r="H23" s="8">
        <v>0</v>
      </c>
      <c r="I23" s="8" t="s">
        <v>98</v>
      </c>
      <c r="J23" s="8">
        <v>2026</v>
      </c>
      <c r="K23" s="8" t="s">
        <v>34</v>
      </c>
      <c r="L23" s="8" t="s">
        <v>79</v>
      </c>
      <c r="M23" s="9"/>
      <c r="N23">
        <f t="shared" si="0"/>
        <v>435</v>
      </c>
      <c r="O23" t="str">
        <f t="shared" si="1"/>
        <v>Low</v>
      </c>
    </row>
    <row r="24" spans="1:15" x14ac:dyDescent="0.25">
      <c r="A24" s="5" t="s">
        <v>99</v>
      </c>
      <c r="B24" s="5" t="s">
        <v>27</v>
      </c>
      <c r="C24" s="5" t="s">
        <v>22</v>
      </c>
      <c r="D24" s="5" t="s">
        <v>23</v>
      </c>
      <c r="E24" s="5">
        <v>5.94</v>
      </c>
      <c r="F24" s="5">
        <v>70.5</v>
      </c>
      <c r="G24" s="5">
        <v>75.400000000000006</v>
      </c>
      <c r="H24" s="5">
        <v>0</v>
      </c>
      <c r="I24" s="5" t="s">
        <v>100</v>
      </c>
      <c r="J24" s="5">
        <v>2027</v>
      </c>
      <c r="K24" s="5" t="s">
        <v>34</v>
      </c>
      <c r="L24" s="5" t="s">
        <v>79</v>
      </c>
      <c r="M24" s="6"/>
      <c r="N24">
        <f t="shared" si="0"/>
        <v>467</v>
      </c>
      <c r="O24" t="str">
        <f t="shared" si="1"/>
        <v>Low</v>
      </c>
    </row>
    <row r="25" spans="1:15" x14ac:dyDescent="0.25">
      <c r="A25" s="5" t="s">
        <v>101</v>
      </c>
      <c r="B25" s="8" t="s">
        <v>102</v>
      </c>
      <c r="C25" s="8" t="s">
        <v>22</v>
      </c>
      <c r="D25" s="8" t="s">
        <v>23</v>
      </c>
      <c r="E25" s="8">
        <v>6.8</v>
      </c>
      <c r="F25" s="8">
        <v>59.3</v>
      </c>
      <c r="G25" s="8">
        <v>85.9</v>
      </c>
      <c r="H25" s="8">
        <v>1</v>
      </c>
      <c r="I25" s="8" t="s">
        <v>103</v>
      </c>
      <c r="J25" s="8">
        <v>2027</v>
      </c>
      <c r="K25" s="8" t="s">
        <v>34</v>
      </c>
      <c r="L25" s="8" t="s">
        <v>79</v>
      </c>
      <c r="M25" s="9"/>
      <c r="N25">
        <f t="shared" si="0"/>
        <v>362</v>
      </c>
      <c r="O25" t="str">
        <f t="shared" si="1"/>
        <v>Low</v>
      </c>
    </row>
    <row r="26" spans="1:15" x14ac:dyDescent="0.25">
      <c r="A26" s="5" t="s">
        <v>104</v>
      </c>
      <c r="B26" s="5" t="s">
        <v>105</v>
      </c>
      <c r="C26" s="5" t="s">
        <v>41</v>
      </c>
      <c r="D26" s="5" t="s">
        <v>106</v>
      </c>
      <c r="E26" s="5">
        <v>9.01</v>
      </c>
      <c r="F26" s="5">
        <v>91.3</v>
      </c>
      <c r="G26" s="5">
        <v>87.3</v>
      </c>
      <c r="H26" s="5">
        <v>0</v>
      </c>
      <c r="I26" s="5" t="s">
        <v>107</v>
      </c>
      <c r="J26" s="5">
        <v>2027</v>
      </c>
      <c r="K26" s="5" t="s">
        <v>18</v>
      </c>
      <c r="L26" s="5" t="s">
        <v>108</v>
      </c>
      <c r="M26" s="6">
        <v>13.1</v>
      </c>
      <c r="N26">
        <f t="shared" si="0"/>
        <v>85</v>
      </c>
      <c r="O26" t="str">
        <f t="shared" si="1"/>
        <v>Very High</v>
      </c>
    </row>
    <row r="27" spans="1:15" x14ac:dyDescent="0.25">
      <c r="A27" s="5" t="s">
        <v>109</v>
      </c>
      <c r="B27" s="8" t="s">
        <v>110</v>
      </c>
      <c r="C27" s="8" t="s">
        <v>22</v>
      </c>
      <c r="D27" s="8" t="s">
        <v>16</v>
      </c>
      <c r="E27" s="8">
        <v>5.89</v>
      </c>
      <c r="F27" s="8">
        <v>63.1</v>
      </c>
      <c r="G27" s="8">
        <v>65.099999999999994</v>
      </c>
      <c r="H27" s="8">
        <v>1</v>
      </c>
      <c r="I27" s="8" t="s">
        <v>111</v>
      </c>
      <c r="J27" s="8">
        <v>2027</v>
      </c>
      <c r="K27" s="8" t="s">
        <v>34</v>
      </c>
      <c r="L27" s="8" t="s">
        <v>79</v>
      </c>
      <c r="M27" s="9"/>
      <c r="N27">
        <f t="shared" si="0"/>
        <v>471</v>
      </c>
      <c r="O27" t="str">
        <f t="shared" si="1"/>
        <v>Low</v>
      </c>
    </row>
    <row r="28" spans="1:15" x14ac:dyDescent="0.25">
      <c r="A28" s="5" t="s">
        <v>112</v>
      </c>
      <c r="B28" s="5" t="s">
        <v>113</v>
      </c>
      <c r="C28" s="5" t="s">
        <v>22</v>
      </c>
      <c r="D28" s="5" t="s">
        <v>23</v>
      </c>
      <c r="E28" s="5">
        <v>9.65</v>
      </c>
      <c r="F28" s="5">
        <v>66.099999999999994</v>
      </c>
      <c r="G28" s="5">
        <v>55</v>
      </c>
      <c r="H28" s="5">
        <v>0</v>
      </c>
      <c r="I28" s="5" t="s">
        <v>114</v>
      </c>
      <c r="J28" s="5">
        <v>2027</v>
      </c>
      <c r="K28" s="5" t="s">
        <v>18</v>
      </c>
      <c r="L28" s="5" t="s">
        <v>115</v>
      </c>
      <c r="M28" s="6">
        <v>10.9</v>
      </c>
      <c r="N28">
        <f t="shared" si="0"/>
        <v>14</v>
      </c>
      <c r="O28" t="str">
        <f t="shared" si="1"/>
        <v>Very High</v>
      </c>
    </row>
    <row r="29" spans="1:15" x14ac:dyDescent="0.25">
      <c r="A29" s="5" t="s">
        <v>116</v>
      </c>
      <c r="B29" s="8" t="s">
        <v>117</v>
      </c>
      <c r="C29" s="8" t="s">
        <v>22</v>
      </c>
      <c r="D29" s="8" t="s">
        <v>118</v>
      </c>
      <c r="E29" s="8">
        <v>7.53</v>
      </c>
      <c r="F29" s="8">
        <v>94.9</v>
      </c>
      <c r="G29" s="8">
        <v>92.4</v>
      </c>
      <c r="H29" s="8">
        <v>0</v>
      </c>
      <c r="I29" s="8" t="s">
        <v>119</v>
      </c>
      <c r="J29" s="8">
        <v>2026</v>
      </c>
      <c r="K29" s="8" t="s">
        <v>18</v>
      </c>
      <c r="L29" s="8" t="s">
        <v>70</v>
      </c>
      <c r="M29" s="9">
        <v>10.7</v>
      </c>
      <c r="N29">
        <f t="shared" si="0"/>
        <v>272</v>
      </c>
      <c r="O29" t="str">
        <f t="shared" si="1"/>
        <v>Medium</v>
      </c>
    </row>
    <row r="30" spans="1:15" x14ac:dyDescent="0.25">
      <c r="A30" s="5" t="s">
        <v>120</v>
      </c>
      <c r="B30" s="5" t="s">
        <v>121</v>
      </c>
      <c r="C30" s="5" t="s">
        <v>22</v>
      </c>
      <c r="D30" s="5" t="s">
        <v>118</v>
      </c>
      <c r="E30" s="5">
        <v>8.4600000000000009</v>
      </c>
      <c r="F30" s="5">
        <v>70.900000000000006</v>
      </c>
      <c r="G30" s="5">
        <v>84.4</v>
      </c>
      <c r="H30" s="5">
        <v>0</v>
      </c>
      <c r="I30" s="5" t="s">
        <v>122</v>
      </c>
      <c r="J30" s="5">
        <v>2026</v>
      </c>
      <c r="K30" s="5" t="s">
        <v>18</v>
      </c>
      <c r="L30" s="5" t="s">
        <v>59</v>
      </c>
      <c r="M30" s="6">
        <v>9.8000000000000007</v>
      </c>
      <c r="N30">
        <f t="shared" si="0"/>
        <v>148</v>
      </c>
      <c r="O30" t="str">
        <f t="shared" si="1"/>
        <v>High</v>
      </c>
    </row>
    <row r="31" spans="1:15" x14ac:dyDescent="0.25">
      <c r="A31" s="5" t="s">
        <v>123</v>
      </c>
      <c r="B31" s="8" t="s">
        <v>124</v>
      </c>
      <c r="C31" s="8" t="s">
        <v>54</v>
      </c>
      <c r="D31" s="8" t="s">
        <v>46</v>
      </c>
      <c r="E31" s="8">
        <v>8.5</v>
      </c>
      <c r="F31" s="8">
        <v>76.5</v>
      </c>
      <c r="G31" s="8">
        <v>86.5</v>
      </c>
      <c r="H31" s="8">
        <v>2</v>
      </c>
      <c r="I31" s="8" t="s">
        <v>125</v>
      </c>
      <c r="J31" s="8">
        <v>2025</v>
      </c>
      <c r="K31" s="8" t="s">
        <v>34</v>
      </c>
      <c r="L31" s="8" t="s">
        <v>79</v>
      </c>
      <c r="M31" s="9"/>
      <c r="N31">
        <f t="shared" si="0"/>
        <v>147</v>
      </c>
      <c r="O31" t="str">
        <f t="shared" si="1"/>
        <v>High</v>
      </c>
    </row>
    <row r="32" spans="1:15" x14ac:dyDescent="0.25">
      <c r="A32" s="5" t="s">
        <v>126</v>
      </c>
      <c r="B32" s="5" t="s">
        <v>127</v>
      </c>
      <c r="C32" s="5" t="s">
        <v>22</v>
      </c>
      <c r="D32" s="5" t="s">
        <v>16</v>
      </c>
      <c r="E32" s="5">
        <v>6.39</v>
      </c>
      <c r="F32" s="5">
        <v>56.9</v>
      </c>
      <c r="G32" s="5">
        <v>95.3</v>
      </c>
      <c r="H32" s="5">
        <v>0</v>
      </c>
      <c r="I32" s="5" t="s">
        <v>128</v>
      </c>
      <c r="J32" s="5">
        <v>2027</v>
      </c>
      <c r="K32" s="5" t="s">
        <v>30</v>
      </c>
      <c r="L32" s="5" t="s">
        <v>79</v>
      </c>
      <c r="M32" s="6"/>
      <c r="N32">
        <f t="shared" si="0"/>
        <v>417</v>
      </c>
      <c r="O32" t="str">
        <f t="shared" si="1"/>
        <v>Low</v>
      </c>
    </row>
    <row r="33" spans="1:15" x14ac:dyDescent="0.25">
      <c r="A33" s="5" t="s">
        <v>129</v>
      </c>
      <c r="B33" s="8" t="s">
        <v>130</v>
      </c>
      <c r="C33" s="8" t="s">
        <v>54</v>
      </c>
      <c r="D33" s="8" t="s">
        <v>46</v>
      </c>
      <c r="E33" s="8">
        <v>6.78</v>
      </c>
      <c r="F33" s="8">
        <v>82.6</v>
      </c>
      <c r="G33" s="8">
        <v>50.3</v>
      </c>
      <c r="H33" s="8">
        <v>0</v>
      </c>
      <c r="I33" s="8" t="s">
        <v>131</v>
      </c>
      <c r="J33" s="8">
        <v>2026</v>
      </c>
      <c r="K33" s="8" t="s">
        <v>30</v>
      </c>
      <c r="L33" s="8" t="s">
        <v>79</v>
      </c>
      <c r="M33" s="9"/>
      <c r="N33">
        <f t="shared" si="0"/>
        <v>366</v>
      </c>
      <c r="O33" t="str">
        <f t="shared" si="1"/>
        <v>Low</v>
      </c>
    </row>
    <row r="34" spans="1:15" x14ac:dyDescent="0.25">
      <c r="A34" s="5" t="s">
        <v>132</v>
      </c>
      <c r="B34" s="5" t="s">
        <v>133</v>
      </c>
      <c r="C34" s="5" t="s">
        <v>22</v>
      </c>
      <c r="D34" s="5" t="s">
        <v>16</v>
      </c>
      <c r="E34" s="5">
        <v>7.63</v>
      </c>
      <c r="F34" s="5">
        <v>88.7</v>
      </c>
      <c r="G34" s="5">
        <v>80.7</v>
      </c>
      <c r="H34" s="5">
        <v>3</v>
      </c>
      <c r="I34" s="5" t="s">
        <v>134</v>
      </c>
      <c r="J34" s="5">
        <v>2027</v>
      </c>
      <c r="K34" s="5" t="s">
        <v>34</v>
      </c>
      <c r="L34" s="5" t="s">
        <v>79</v>
      </c>
      <c r="M34" s="6"/>
      <c r="N34">
        <f t="shared" si="0"/>
        <v>254</v>
      </c>
      <c r="O34" t="str">
        <f t="shared" si="1"/>
        <v>Medium</v>
      </c>
    </row>
    <row r="35" spans="1:15" x14ac:dyDescent="0.25">
      <c r="A35" s="5" t="s">
        <v>135</v>
      </c>
      <c r="B35" s="8" t="s">
        <v>136</v>
      </c>
      <c r="C35" s="8" t="s">
        <v>54</v>
      </c>
      <c r="D35" s="8" t="s">
        <v>46</v>
      </c>
      <c r="E35" s="8">
        <v>8.81</v>
      </c>
      <c r="F35" s="8">
        <v>90.3</v>
      </c>
      <c r="G35" s="8">
        <v>62.8</v>
      </c>
      <c r="H35" s="8">
        <v>0</v>
      </c>
      <c r="I35" s="8" t="s">
        <v>137</v>
      </c>
      <c r="J35" s="8">
        <v>2026</v>
      </c>
      <c r="K35" s="8" t="s">
        <v>18</v>
      </c>
      <c r="L35" s="8" t="s">
        <v>138</v>
      </c>
      <c r="M35" s="9">
        <v>12.8</v>
      </c>
      <c r="N35">
        <f t="shared" si="0"/>
        <v>105</v>
      </c>
      <c r="O35" t="str">
        <f t="shared" si="1"/>
        <v>High</v>
      </c>
    </row>
    <row r="36" spans="1:15" x14ac:dyDescent="0.25">
      <c r="A36" s="5" t="s">
        <v>139</v>
      </c>
      <c r="B36" s="5" t="s">
        <v>140</v>
      </c>
      <c r="C36" s="5" t="s">
        <v>22</v>
      </c>
      <c r="D36" s="5" t="s">
        <v>16</v>
      </c>
      <c r="E36" s="5">
        <v>7.33</v>
      </c>
      <c r="F36" s="5">
        <v>61.4</v>
      </c>
      <c r="G36" s="5">
        <v>59.8</v>
      </c>
      <c r="H36" s="5">
        <v>0</v>
      </c>
      <c r="I36" s="5" t="s">
        <v>141</v>
      </c>
      <c r="J36" s="5">
        <v>2026</v>
      </c>
      <c r="K36" s="5" t="s">
        <v>18</v>
      </c>
      <c r="L36" s="5" t="s">
        <v>38</v>
      </c>
      <c r="M36" s="6">
        <v>11.5</v>
      </c>
      <c r="N36">
        <f t="shared" si="0"/>
        <v>297</v>
      </c>
      <c r="O36" t="str">
        <f t="shared" si="1"/>
        <v>Medium</v>
      </c>
    </row>
    <row r="37" spans="1:15" x14ac:dyDescent="0.25">
      <c r="A37" s="5" t="s">
        <v>142</v>
      </c>
      <c r="B37" s="8" t="s">
        <v>143</v>
      </c>
      <c r="C37" s="8" t="s">
        <v>54</v>
      </c>
      <c r="D37" s="8" t="s">
        <v>46</v>
      </c>
      <c r="E37" s="8">
        <v>5.82</v>
      </c>
      <c r="F37" s="8">
        <v>69.8</v>
      </c>
      <c r="G37" s="8">
        <v>84.7</v>
      </c>
      <c r="H37" s="8">
        <v>1</v>
      </c>
      <c r="I37" s="8" t="s">
        <v>144</v>
      </c>
      <c r="J37" s="8">
        <v>2026</v>
      </c>
      <c r="K37" s="8" t="s">
        <v>34</v>
      </c>
      <c r="L37" s="8" t="s">
        <v>79</v>
      </c>
      <c r="M37" s="9"/>
      <c r="N37">
        <f t="shared" si="0"/>
        <v>475</v>
      </c>
      <c r="O37" t="str">
        <f t="shared" si="1"/>
        <v>Low</v>
      </c>
    </row>
    <row r="38" spans="1:15" x14ac:dyDescent="0.25">
      <c r="A38" s="5" t="s">
        <v>145</v>
      </c>
      <c r="B38" s="5" t="s">
        <v>146</v>
      </c>
      <c r="C38" s="5" t="s">
        <v>22</v>
      </c>
      <c r="D38" s="5" t="s">
        <v>118</v>
      </c>
      <c r="E38" s="5">
        <v>9.48</v>
      </c>
      <c r="F38" s="5">
        <v>96.2</v>
      </c>
      <c r="G38" s="5">
        <v>74.599999999999994</v>
      </c>
      <c r="H38" s="5">
        <v>1</v>
      </c>
      <c r="I38" s="5" t="s">
        <v>147</v>
      </c>
      <c r="J38" s="5">
        <v>2025</v>
      </c>
      <c r="K38" s="5" t="s">
        <v>34</v>
      </c>
      <c r="L38" s="5" t="s">
        <v>79</v>
      </c>
      <c r="M38" s="6"/>
      <c r="N38">
        <f t="shared" si="0"/>
        <v>33</v>
      </c>
      <c r="O38" t="str">
        <f t="shared" si="1"/>
        <v>Very High</v>
      </c>
    </row>
    <row r="39" spans="1:15" x14ac:dyDescent="0.25">
      <c r="A39" s="5" t="s">
        <v>148</v>
      </c>
      <c r="B39" s="8" t="s">
        <v>149</v>
      </c>
      <c r="C39" s="8" t="s">
        <v>41</v>
      </c>
      <c r="D39" s="8" t="s">
        <v>46</v>
      </c>
      <c r="E39" s="8">
        <v>7.62</v>
      </c>
      <c r="F39" s="8">
        <v>69.2</v>
      </c>
      <c r="G39" s="8">
        <v>90.5</v>
      </c>
      <c r="H39" s="8">
        <v>0</v>
      </c>
      <c r="I39" s="8" t="s">
        <v>150</v>
      </c>
      <c r="J39" s="8">
        <v>2026</v>
      </c>
      <c r="K39" s="8" t="s">
        <v>34</v>
      </c>
      <c r="L39" s="8" t="s">
        <v>79</v>
      </c>
      <c r="M39" s="9"/>
      <c r="N39">
        <f t="shared" si="0"/>
        <v>255</v>
      </c>
      <c r="O39" t="str">
        <f t="shared" si="1"/>
        <v>Medium</v>
      </c>
    </row>
    <row r="40" spans="1:15" x14ac:dyDescent="0.25">
      <c r="A40" s="5" t="s">
        <v>151</v>
      </c>
      <c r="B40" s="5" t="s">
        <v>152</v>
      </c>
      <c r="C40" s="5" t="s">
        <v>15</v>
      </c>
      <c r="D40" s="5" t="s">
        <v>16</v>
      </c>
      <c r="E40" s="5">
        <v>9.6</v>
      </c>
      <c r="F40" s="5">
        <v>63.4</v>
      </c>
      <c r="G40" s="5">
        <v>50.9</v>
      </c>
      <c r="H40" s="5">
        <v>0</v>
      </c>
      <c r="I40" s="5" t="s">
        <v>153</v>
      </c>
      <c r="J40" s="5">
        <v>2026</v>
      </c>
      <c r="K40" s="5" t="s">
        <v>18</v>
      </c>
      <c r="L40" s="5" t="s">
        <v>138</v>
      </c>
      <c r="M40" s="6">
        <v>5</v>
      </c>
      <c r="N40">
        <f t="shared" si="0"/>
        <v>21</v>
      </c>
      <c r="O40" t="str">
        <f t="shared" si="1"/>
        <v>Very High</v>
      </c>
    </row>
    <row r="41" spans="1:15" x14ac:dyDescent="0.25">
      <c r="A41" s="5" t="s">
        <v>154</v>
      </c>
      <c r="B41" s="8" t="s">
        <v>155</v>
      </c>
      <c r="C41" s="8" t="s">
        <v>22</v>
      </c>
      <c r="D41" s="8" t="s">
        <v>118</v>
      </c>
      <c r="E41" s="8">
        <v>6.23</v>
      </c>
      <c r="F41" s="8">
        <v>56.1</v>
      </c>
      <c r="G41" s="8">
        <v>64.400000000000006</v>
      </c>
      <c r="H41" s="8">
        <v>0</v>
      </c>
      <c r="I41" s="8" t="s">
        <v>156</v>
      </c>
      <c r="J41" s="8">
        <v>2026</v>
      </c>
      <c r="K41" s="8" t="s">
        <v>18</v>
      </c>
      <c r="L41" s="8" t="s">
        <v>157</v>
      </c>
      <c r="M41" s="9">
        <v>11.5</v>
      </c>
      <c r="N41">
        <f t="shared" si="0"/>
        <v>431</v>
      </c>
      <c r="O41" t="str">
        <f t="shared" si="1"/>
        <v>Low</v>
      </c>
    </row>
    <row r="42" spans="1:15" x14ac:dyDescent="0.25">
      <c r="A42" s="5" t="s">
        <v>158</v>
      </c>
      <c r="B42" s="5" t="s">
        <v>159</v>
      </c>
      <c r="C42" s="5" t="s">
        <v>15</v>
      </c>
      <c r="D42" s="5" t="s">
        <v>62</v>
      </c>
      <c r="E42" s="5">
        <v>8.93</v>
      </c>
      <c r="F42" s="5">
        <v>69.599999999999994</v>
      </c>
      <c r="G42" s="5">
        <v>69.7</v>
      </c>
      <c r="H42" s="5">
        <v>0</v>
      </c>
      <c r="I42" s="5" t="s">
        <v>160</v>
      </c>
      <c r="J42" s="5">
        <v>2026</v>
      </c>
      <c r="K42" s="5" t="s">
        <v>18</v>
      </c>
      <c r="L42" s="5" t="s">
        <v>38</v>
      </c>
      <c r="M42" s="6">
        <v>12.2</v>
      </c>
      <c r="N42">
        <f t="shared" si="0"/>
        <v>90</v>
      </c>
      <c r="O42" t="str">
        <f t="shared" si="1"/>
        <v>High</v>
      </c>
    </row>
    <row r="43" spans="1:15" x14ac:dyDescent="0.25">
      <c r="A43" s="5" t="s">
        <v>161</v>
      </c>
      <c r="B43" s="8" t="s">
        <v>162</v>
      </c>
      <c r="C43" s="8" t="s">
        <v>54</v>
      </c>
      <c r="D43" s="8" t="s">
        <v>42</v>
      </c>
      <c r="E43" s="8">
        <v>8.74</v>
      </c>
      <c r="F43" s="8">
        <v>95.5</v>
      </c>
      <c r="G43" s="8">
        <v>62.4</v>
      </c>
      <c r="H43" s="8">
        <v>1</v>
      </c>
      <c r="I43" s="8" t="s">
        <v>163</v>
      </c>
      <c r="J43" s="8">
        <v>2026</v>
      </c>
      <c r="K43" s="8" t="s">
        <v>18</v>
      </c>
      <c r="L43" s="8" t="s">
        <v>38</v>
      </c>
      <c r="M43" s="9">
        <v>8.1</v>
      </c>
      <c r="N43">
        <f t="shared" si="0"/>
        <v>117</v>
      </c>
      <c r="O43" t="str">
        <f t="shared" si="1"/>
        <v>High</v>
      </c>
    </row>
    <row r="44" spans="1:15" x14ac:dyDescent="0.25">
      <c r="A44" s="5" t="s">
        <v>164</v>
      </c>
      <c r="B44" s="5" t="s">
        <v>165</v>
      </c>
      <c r="C44" s="5" t="s">
        <v>54</v>
      </c>
      <c r="D44" s="5" t="s">
        <v>46</v>
      </c>
      <c r="E44" s="5">
        <v>5.91</v>
      </c>
      <c r="F44" s="5">
        <v>90.7</v>
      </c>
      <c r="G44" s="5">
        <v>58.4</v>
      </c>
      <c r="H44" s="5">
        <v>0</v>
      </c>
      <c r="I44" s="5" t="s">
        <v>166</v>
      </c>
      <c r="J44" s="5">
        <v>2025</v>
      </c>
      <c r="K44" s="5" t="s">
        <v>34</v>
      </c>
      <c r="L44" s="5" t="s">
        <v>79</v>
      </c>
      <c r="M44" s="6"/>
      <c r="N44">
        <f t="shared" si="0"/>
        <v>469</v>
      </c>
      <c r="O44" t="str">
        <f t="shared" si="1"/>
        <v>Low</v>
      </c>
    </row>
    <row r="45" spans="1:15" x14ac:dyDescent="0.25">
      <c r="A45" s="5" t="s">
        <v>167</v>
      </c>
      <c r="B45" s="8" t="s">
        <v>168</v>
      </c>
      <c r="C45" s="8" t="s">
        <v>54</v>
      </c>
      <c r="D45" s="8" t="s">
        <v>169</v>
      </c>
      <c r="E45" s="8">
        <v>8.83</v>
      </c>
      <c r="F45" s="8">
        <v>84</v>
      </c>
      <c r="G45" s="8">
        <v>79.7</v>
      </c>
      <c r="H45" s="8">
        <v>0</v>
      </c>
      <c r="I45" s="8" t="s">
        <v>170</v>
      </c>
      <c r="J45" s="8">
        <v>2026</v>
      </c>
      <c r="K45" s="8" t="s">
        <v>34</v>
      </c>
      <c r="L45" s="8" t="s">
        <v>79</v>
      </c>
      <c r="M45" s="9"/>
      <c r="N45">
        <f t="shared" si="0"/>
        <v>99</v>
      </c>
      <c r="O45" t="str">
        <f t="shared" si="1"/>
        <v>High</v>
      </c>
    </row>
    <row r="46" spans="1:15" x14ac:dyDescent="0.25">
      <c r="A46" s="5" t="s">
        <v>171</v>
      </c>
      <c r="B46" s="5" t="s">
        <v>172</v>
      </c>
      <c r="C46" s="5" t="s">
        <v>41</v>
      </c>
      <c r="D46" s="5" t="s">
        <v>28</v>
      </c>
      <c r="E46" s="5">
        <v>8.01</v>
      </c>
      <c r="F46" s="5">
        <v>69.400000000000006</v>
      </c>
      <c r="G46" s="5">
        <v>95.8</v>
      </c>
      <c r="H46" s="5">
        <v>0</v>
      </c>
      <c r="I46" s="5" t="s">
        <v>173</v>
      </c>
      <c r="J46" s="5">
        <v>2026</v>
      </c>
      <c r="K46" s="5" t="s">
        <v>34</v>
      </c>
      <c r="L46" s="5" t="s">
        <v>79</v>
      </c>
      <c r="M46" s="6"/>
      <c r="N46">
        <f t="shared" si="0"/>
        <v>204</v>
      </c>
      <c r="O46" t="str">
        <f t="shared" si="1"/>
        <v>High</v>
      </c>
    </row>
    <row r="47" spans="1:15" x14ac:dyDescent="0.25">
      <c r="A47" s="5" t="s">
        <v>174</v>
      </c>
      <c r="B47" s="8" t="s">
        <v>117</v>
      </c>
      <c r="C47" s="8" t="s">
        <v>22</v>
      </c>
      <c r="D47" s="8" t="s">
        <v>16</v>
      </c>
      <c r="E47" s="8">
        <v>6.67</v>
      </c>
      <c r="F47" s="8">
        <v>75.3</v>
      </c>
      <c r="G47" s="8">
        <v>83.3</v>
      </c>
      <c r="H47" s="8">
        <v>2</v>
      </c>
      <c r="I47" s="8" t="s">
        <v>175</v>
      </c>
      <c r="J47" s="8">
        <v>2026</v>
      </c>
      <c r="K47" s="8" t="s">
        <v>30</v>
      </c>
      <c r="L47" s="8" t="s">
        <v>79</v>
      </c>
      <c r="M47" s="9"/>
      <c r="N47">
        <f t="shared" si="0"/>
        <v>378</v>
      </c>
      <c r="O47" t="str">
        <f t="shared" si="1"/>
        <v>Low</v>
      </c>
    </row>
    <row r="48" spans="1:15" x14ac:dyDescent="0.25">
      <c r="A48" s="5" t="s">
        <v>176</v>
      </c>
      <c r="B48" s="5" t="s">
        <v>177</v>
      </c>
      <c r="C48" s="5" t="s">
        <v>41</v>
      </c>
      <c r="D48" s="5" t="s">
        <v>42</v>
      </c>
      <c r="E48" s="5">
        <v>9.6999999999999993</v>
      </c>
      <c r="F48" s="5">
        <v>78.2</v>
      </c>
      <c r="G48" s="5">
        <v>82.1</v>
      </c>
      <c r="H48" s="5">
        <v>0</v>
      </c>
      <c r="I48" s="5" t="s">
        <v>178</v>
      </c>
      <c r="J48" s="5">
        <v>2026</v>
      </c>
      <c r="K48" s="5" t="s">
        <v>18</v>
      </c>
      <c r="L48" s="5" t="s">
        <v>115</v>
      </c>
      <c r="M48" s="6">
        <v>5.9</v>
      </c>
      <c r="N48">
        <f t="shared" si="0"/>
        <v>9</v>
      </c>
      <c r="O48" t="str">
        <f t="shared" si="1"/>
        <v>Very High</v>
      </c>
    </row>
    <row r="49" spans="1:15" x14ac:dyDescent="0.25">
      <c r="A49" s="5" t="s">
        <v>179</v>
      </c>
      <c r="B49" s="8" t="s">
        <v>180</v>
      </c>
      <c r="C49" s="8" t="s">
        <v>15</v>
      </c>
      <c r="D49" s="8" t="s">
        <v>16</v>
      </c>
      <c r="E49" s="8">
        <v>7.4</v>
      </c>
      <c r="F49" s="8">
        <v>58.1</v>
      </c>
      <c r="G49" s="8">
        <v>79</v>
      </c>
      <c r="H49" s="8">
        <v>0</v>
      </c>
      <c r="I49" s="8" t="s">
        <v>181</v>
      </c>
      <c r="J49" s="8">
        <v>2027</v>
      </c>
      <c r="K49" s="8" t="s">
        <v>18</v>
      </c>
      <c r="L49" s="8" t="s">
        <v>25</v>
      </c>
      <c r="M49" s="9">
        <v>7.7</v>
      </c>
      <c r="N49">
        <f t="shared" si="0"/>
        <v>290</v>
      </c>
      <c r="O49" t="str">
        <f t="shared" si="1"/>
        <v>Medium</v>
      </c>
    </row>
    <row r="50" spans="1:15" x14ac:dyDescent="0.25">
      <c r="A50" s="5" t="s">
        <v>182</v>
      </c>
      <c r="B50" s="5" t="s">
        <v>183</v>
      </c>
      <c r="C50" s="5" t="s">
        <v>22</v>
      </c>
      <c r="D50" s="5" t="s">
        <v>23</v>
      </c>
      <c r="E50" s="8">
        <v>7.76</v>
      </c>
      <c r="F50" s="5">
        <v>93.2</v>
      </c>
      <c r="G50" s="5">
        <v>63.7</v>
      </c>
      <c r="H50" s="5">
        <v>0</v>
      </c>
      <c r="I50" s="5" t="s">
        <v>184</v>
      </c>
      <c r="J50" s="5">
        <v>2026</v>
      </c>
      <c r="K50" s="5" t="s">
        <v>18</v>
      </c>
      <c r="L50" s="5" t="s">
        <v>48</v>
      </c>
      <c r="M50" s="6">
        <v>4.9000000000000004</v>
      </c>
      <c r="N50">
        <f t="shared" si="0"/>
        <v>235</v>
      </c>
      <c r="O50" t="str">
        <f t="shared" si="1"/>
        <v>Medium</v>
      </c>
    </row>
    <row r="51" spans="1:15" x14ac:dyDescent="0.25">
      <c r="A51" s="5" t="s">
        <v>185</v>
      </c>
      <c r="B51" s="8" t="s">
        <v>186</v>
      </c>
      <c r="C51" s="8" t="s">
        <v>15</v>
      </c>
      <c r="D51" s="8" t="s">
        <v>16</v>
      </c>
      <c r="E51" s="8">
        <v>5.81</v>
      </c>
      <c r="F51" s="8">
        <v>73.900000000000006</v>
      </c>
      <c r="G51" s="8">
        <v>77.3</v>
      </c>
      <c r="H51" s="8">
        <v>0</v>
      </c>
      <c r="I51" s="8" t="s">
        <v>187</v>
      </c>
      <c r="J51" s="8">
        <v>2025</v>
      </c>
      <c r="K51" s="8" t="s">
        <v>18</v>
      </c>
      <c r="L51" s="8" t="s">
        <v>188</v>
      </c>
      <c r="M51" s="9">
        <v>11.7</v>
      </c>
      <c r="N51">
        <f t="shared" si="0"/>
        <v>478</v>
      </c>
      <c r="O51" t="str">
        <f t="shared" si="1"/>
        <v>Low</v>
      </c>
    </row>
    <row r="52" spans="1:15" x14ac:dyDescent="0.25">
      <c r="A52" s="5" t="s">
        <v>189</v>
      </c>
      <c r="B52" s="5" t="s">
        <v>190</v>
      </c>
      <c r="C52" s="5" t="s">
        <v>22</v>
      </c>
      <c r="D52" s="5" t="s">
        <v>118</v>
      </c>
      <c r="E52" s="5">
        <v>6.26</v>
      </c>
      <c r="F52" s="5">
        <v>64.400000000000006</v>
      </c>
      <c r="G52" s="5">
        <v>56.9</v>
      </c>
      <c r="H52" s="5">
        <v>0</v>
      </c>
      <c r="I52" s="5" t="s">
        <v>191</v>
      </c>
      <c r="J52" s="5">
        <v>2026</v>
      </c>
      <c r="K52" s="5" t="s">
        <v>30</v>
      </c>
      <c r="L52" s="5" t="s">
        <v>79</v>
      </c>
      <c r="M52" s="6"/>
      <c r="N52">
        <f t="shared" si="0"/>
        <v>426</v>
      </c>
      <c r="O52" t="str">
        <f t="shared" si="1"/>
        <v>Low</v>
      </c>
    </row>
    <row r="53" spans="1:15" x14ac:dyDescent="0.25">
      <c r="A53" s="5" t="s">
        <v>192</v>
      </c>
      <c r="B53" s="8" t="s">
        <v>168</v>
      </c>
      <c r="C53" s="8" t="s">
        <v>54</v>
      </c>
      <c r="D53" s="8" t="s">
        <v>42</v>
      </c>
      <c r="E53" s="8">
        <v>7.67</v>
      </c>
      <c r="F53" s="8">
        <v>67.8</v>
      </c>
      <c r="G53" s="8">
        <v>68.5</v>
      </c>
      <c r="H53" s="8">
        <v>0</v>
      </c>
      <c r="I53" s="8" t="s">
        <v>193</v>
      </c>
      <c r="J53" s="8">
        <v>2026</v>
      </c>
      <c r="K53" s="8" t="s">
        <v>18</v>
      </c>
      <c r="L53" s="8" t="s">
        <v>48</v>
      </c>
      <c r="M53" s="9">
        <v>5.7</v>
      </c>
      <c r="N53">
        <f t="shared" si="0"/>
        <v>248</v>
      </c>
      <c r="O53" t="str">
        <f t="shared" si="1"/>
        <v>Medium</v>
      </c>
    </row>
    <row r="54" spans="1:15" x14ac:dyDescent="0.25">
      <c r="A54" s="5" t="s">
        <v>194</v>
      </c>
      <c r="B54" s="5" t="s">
        <v>195</v>
      </c>
      <c r="C54" s="5" t="s">
        <v>15</v>
      </c>
      <c r="D54" s="5" t="s">
        <v>62</v>
      </c>
      <c r="E54" s="5">
        <v>9.09</v>
      </c>
      <c r="F54" s="5">
        <v>79.2</v>
      </c>
      <c r="G54" s="5">
        <v>85.1</v>
      </c>
      <c r="H54" s="5">
        <v>0</v>
      </c>
      <c r="I54" s="5" t="s">
        <v>196</v>
      </c>
      <c r="J54" s="5">
        <v>2027</v>
      </c>
      <c r="K54" s="5" t="s">
        <v>18</v>
      </c>
      <c r="L54" s="5" t="s">
        <v>70</v>
      </c>
      <c r="M54" s="6">
        <v>6.8</v>
      </c>
      <c r="N54">
        <f t="shared" si="0"/>
        <v>75</v>
      </c>
      <c r="O54" t="str">
        <f t="shared" si="1"/>
        <v>Very High</v>
      </c>
    </row>
    <row r="55" spans="1:15" x14ac:dyDescent="0.25">
      <c r="A55" s="5" t="s">
        <v>197</v>
      </c>
      <c r="B55" s="8" t="s">
        <v>90</v>
      </c>
      <c r="C55" s="8" t="s">
        <v>22</v>
      </c>
      <c r="D55" s="8" t="s">
        <v>118</v>
      </c>
      <c r="E55" s="8">
        <v>7.45</v>
      </c>
      <c r="F55" s="8">
        <v>75.8</v>
      </c>
      <c r="G55" s="8">
        <v>80.5</v>
      </c>
      <c r="H55" s="8">
        <v>0</v>
      </c>
      <c r="I55" s="8" t="s">
        <v>198</v>
      </c>
      <c r="J55" s="8">
        <v>2026</v>
      </c>
      <c r="K55" s="8" t="s">
        <v>18</v>
      </c>
      <c r="L55" s="8" t="s">
        <v>25</v>
      </c>
      <c r="M55" s="9">
        <v>7.6</v>
      </c>
      <c r="N55">
        <f t="shared" si="0"/>
        <v>280</v>
      </c>
      <c r="O55" t="str">
        <f t="shared" si="1"/>
        <v>Medium</v>
      </c>
    </row>
    <row r="56" spans="1:15" x14ac:dyDescent="0.25">
      <c r="A56" s="5" t="s">
        <v>199</v>
      </c>
      <c r="B56" s="5" t="s">
        <v>200</v>
      </c>
      <c r="C56" s="5" t="s">
        <v>54</v>
      </c>
      <c r="D56" s="5" t="s">
        <v>46</v>
      </c>
      <c r="E56" s="5">
        <v>6.02</v>
      </c>
      <c r="F56" s="5">
        <v>76.8</v>
      </c>
      <c r="G56" s="5">
        <v>78.599999999999994</v>
      </c>
      <c r="H56" s="5">
        <v>0</v>
      </c>
      <c r="I56" s="5" t="s">
        <v>201</v>
      </c>
      <c r="J56" s="5">
        <v>2027</v>
      </c>
      <c r="K56" s="5" t="s">
        <v>30</v>
      </c>
      <c r="L56" s="5" t="s">
        <v>79</v>
      </c>
      <c r="M56" s="6"/>
      <c r="N56">
        <f t="shared" si="0"/>
        <v>453</v>
      </c>
      <c r="O56" t="str">
        <f t="shared" si="1"/>
        <v>Low</v>
      </c>
    </row>
    <row r="57" spans="1:15" x14ac:dyDescent="0.25">
      <c r="A57" s="5" t="s">
        <v>202</v>
      </c>
      <c r="B57" s="8" t="s">
        <v>203</v>
      </c>
      <c r="C57" s="8" t="s">
        <v>15</v>
      </c>
      <c r="D57" s="8" t="s">
        <v>62</v>
      </c>
      <c r="E57" s="8">
        <v>8.24</v>
      </c>
      <c r="F57" s="8">
        <v>65.099999999999994</v>
      </c>
      <c r="G57" s="8">
        <v>57.3</v>
      </c>
      <c r="H57" s="8">
        <v>0</v>
      </c>
      <c r="I57" s="8" t="s">
        <v>204</v>
      </c>
      <c r="J57" s="8">
        <v>2026</v>
      </c>
      <c r="K57" s="8" t="s">
        <v>18</v>
      </c>
      <c r="L57" s="8" t="s">
        <v>38</v>
      </c>
      <c r="M57" s="9">
        <v>10.9</v>
      </c>
      <c r="N57">
        <f t="shared" si="0"/>
        <v>177</v>
      </c>
      <c r="O57" t="str">
        <f t="shared" si="1"/>
        <v>High</v>
      </c>
    </row>
    <row r="58" spans="1:15" x14ac:dyDescent="0.25">
      <c r="A58" s="5" t="s">
        <v>205</v>
      </c>
      <c r="B58" s="5" t="s">
        <v>75</v>
      </c>
      <c r="C58" s="5" t="s">
        <v>54</v>
      </c>
      <c r="D58" s="5" t="s">
        <v>46</v>
      </c>
      <c r="E58" s="5">
        <v>9.7200000000000006</v>
      </c>
      <c r="F58" s="5">
        <v>65.2</v>
      </c>
      <c r="G58" s="5">
        <v>75.400000000000006</v>
      </c>
      <c r="H58" s="5">
        <v>0</v>
      </c>
      <c r="I58" s="5" t="s">
        <v>206</v>
      </c>
      <c r="J58" s="5">
        <v>2026</v>
      </c>
      <c r="K58" s="5" t="s">
        <v>34</v>
      </c>
      <c r="L58" s="5" t="s">
        <v>79</v>
      </c>
      <c r="M58" s="6"/>
      <c r="N58">
        <f t="shared" si="0"/>
        <v>5</v>
      </c>
      <c r="O58" t="str">
        <f t="shared" si="1"/>
        <v>Very High</v>
      </c>
    </row>
    <row r="59" spans="1:15" x14ac:dyDescent="0.25">
      <c r="A59" s="5" t="s">
        <v>207</v>
      </c>
      <c r="B59" s="8" t="s">
        <v>208</v>
      </c>
      <c r="C59" s="8" t="s">
        <v>41</v>
      </c>
      <c r="D59" s="8" t="s">
        <v>209</v>
      </c>
      <c r="E59" s="8">
        <v>9.15</v>
      </c>
      <c r="F59" s="8">
        <v>79.400000000000006</v>
      </c>
      <c r="G59" s="8">
        <v>80.400000000000006</v>
      </c>
      <c r="H59" s="8">
        <v>1</v>
      </c>
      <c r="I59" s="8" t="s">
        <v>210</v>
      </c>
      <c r="J59" s="8">
        <v>2026</v>
      </c>
      <c r="K59" s="8" t="s">
        <v>18</v>
      </c>
      <c r="L59" s="8" t="s">
        <v>38</v>
      </c>
      <c r="M59" s="9">
        <v>6.7</v>
      </c>
      <c r="N59">
        <f t="shared" si="0"/>
        <v>68</v>
      </c>
      <c r="O59" t="str">
        <f t="shared" si="1"/>
        <v>Very High</v>
      </c>
    </row>
    <row r="60" spans="1:15" x14ac:dyDescent="0.25">
      <c r="A60" s="5" t="s">
        <v>211</v>
      </c>
      <c r="B60" s="5" t="s">
        <v>212</v>
      </c>
      <c r="C60" s="5" t="s">
        <v>54</v>
      </c>
      <c r="D60" s="5" t="s">
        <v>42</v>
      </c>
      <c r="E60" s="5">
        <v>9.2200000000000006</v>
      </c>
      <c r="F60" s="5">
        <v>72.3</v>
      </c>
      <c r="G60" s="5">
        <v>64.599999999999994</v>
      </c>
      <c r="H60" s="5">
        <v>0</v>
      </c>
      <c r="I60" s="5" t="s">
        <v>213</v>
      </c>
      <c r="J60" s="5">
        <v>2026</v>
      </c>
      <c r="K60" s="5" t="s">
        <v>18</v>
      </c>
      <c r="L60" s="5" t="s">
        <v>108</v>
      </c>
      <c r="M60" s="6">
        <v>4.3</v>
      </c>
      <c r="N60">
        <f t="shared" si="0"/>
        <v>59</v>
      </c>
      <c r="O60" t="str">
        <f t="shared" si="1"/>
        <v>Very High</v>
      </c>
    </row>
    <row r="61" spans="1:15" x14ac:dyDescent="0.25">
      <c r="A61" s="5" t="s">
        <v>214</v>
      </c>
      <c r="B61" s="8" t="s">
        <v>215</v>
      </c>
      <c r="C61" s="8" t="s">
        <v>15</v>
      </c>
      <c r="D61" s="8" t="s">
        <v>62</v>
      </c>
      <c r="E61" s="8">
        <v>9.44</v>
      </c>
      <c r="F61" s="8">
        <v>55.6</v>
      </c>
      <c r="G61" s="8">
        <v>56.6</v>
      </c>
      <c r="H61" s="8">
        <v>1</v>
      </c>
      <c r="I61" s="8" t="s">
        <v>216</v>
      </c>
      <c r="J61" s="8">
        <v>2026</v>
      </c>
      <c r="K61" s="8" t="s">
        <v>30</v>
      </c>
      <c r="L61" s="8" t="s">
        <v>79</v>
      </c>
      <c r="M61" s="9"/>
      <c r="N61">
        <f t="shared" si="0"/>
        <v>35</v>
      </c>
      <c r="O61" t="str">
        <f t="shared" si="1"/>
        <v>Very High</v>
      </c>
    </row>
    <row r="62" spans="1:15" x14ac:dyDescent="0.25">
      <c r="A62" s="5" t="s">
        <v>217</v>
      </c>
      <c r="B62" s="5" t="s">
        <v>218</v>
      </c>
      <c r="C62" s="5" t="s">
        <v>54</v>
      </c>
      <c r="D62" s="5" t="s">
        <v>46</v>
      </c>
      <c r="E62" s="5">
        <v>8.31</v>
      </c>
      <c r="F62" s="5">
        <v>92.3</v>
      </c>
      <c r="G62" s="5">
        <v>72.400000000000006</v>
      </c>
      <c r="H62" s="5">
        <v>0</v>
      </c>
      <c r="I62" s="5" t="s">
        <v>219</v>
      </c>
      <c r="J62" s="5">
        <v>2027</v>
      </c>
      <c r="K62" s="5" t="s">
        <v>34</v>
      </c>
      <c r="L62" s="5" t="s">
        <v>79</v>
      </c>
      <c r="M62" s="6"/>
      <c r="N62">
        <f t="shared" si="0"/>
        <v>168</v>
      </c>
      <c r="O62" t="str">
        <f t="shared" si="1"/>
        <v>High</v>
      </c>
    </row>
    <row r="63" spans="1:15" x14ac:dyDescent="0.25">
      <c r="A63" s="5" t="s">
        <v>220</v>
      </c>
      <c r="B63" s="8" t="s">
        <v>221</v>
      </c>
      <c r="C63" s="8" t="s">
        <v>54</v>
      </c>
      <c r="D63" s="8" t="s">
        <v>42</v>
      </c>
      <c r="E63" s="8">
        <v>8.58</v>
      </c>
      <c r="F63" s="8">
        <v>92.9</v>
      </c>
      <c r="G63" s="8">
        <v>52.1</v>
      </c>
      <c r="H63" s="8">
        <v>1</v>
      </c>
      <c r="I63" s="8" t="s">
        <v>222</v>
      </c>
      <c r="J63" s="8">
        <v>2026</v>
      </c>
      <c r="K63" s="8" t="s">
        <v>30</v>
      </c>
      <c r="L63" s="8" t="s">
        <v>79</v>
      </c>
      <c r="M63" s="9"/>
      <c r="N63">
        <f t="shared" si="0"/>
        <v>138</v>
      </c>
      <c r="O63" t="str">
        <f t="shared" si="1"/>
        <v>High</v>
      </c>
    </row>
    <row r="64" spans="1:15" x14ac:dyDescent="0.25">
      <c r="A64" s="5" t="s">
        <v>223</v>
      </c>
      <c r="B64" s="5" t="s">
        <v>224</v>
      </c>
      <c r="C64" s="5" t="s">
        <v>22</v>
      </c>
      <c r="D64" s="5" t="s">
        <v>16</v>
      </c>
      <c r="E64" s="5">
        <v>6.12</v>
      </c>
      <c r="F64" s="5">
        <v>91.6</v>
      </c>
      <c r="G64" s="5">
        <v>78.5</v>
      </c>
      <c r="H64" s="5">
        <v>0</v>
      </c>
      <c r="I64" s="5" t="s">
        <v>225</v>
      </c>
      <c r="J64" s="5">
        <v>2026</v>
      </c>
      <c r="K64" s="5" t="s">
        <v>34</v>
      </c>
      <c r="L64" s="5" t="s">
        <v>79</v>
      </c>
      <c r="M64" s="6"/>
      <c r="N64">
        <f t="shared" si="0"/>
        <v>439</v>
      </c>
      <c r="O64" t="str">
        <f t="shared" si="1"/>
        <v>Low</v>
      </c>
    </row>
    <row r="65" spans="1:15" x14ac:dyDescent="0.25">
      <c r="A65" s="5" t="s">
        <v>226</v>
      </c>
      <c r="B65" s="8" t="s">
        <v>227</v>
      </c>
      <c r="C65" s="8" t="s">
        <v>22</v>
      </c>
      <c r="D65" s="8" t="s">
        <v>16</v>
      </c>
      <c r="E65" s="8">
        <v>7.57</v>
      </c>
      <c r="F65" s="8">
        <v>69.5</v>
      </c>
      <c r="G65" s="8">
        <v>77</v>
      </c>
      <c r="H65" s="8">
        <v>0</v>
      </c>
      <c r="I65" s="8" t="s">
        <v>228</v>
      </c>
      <c r="J65" s="8">
        <v>2027</v>
      </c>
      <c r="K65" s="8" t="s">
        <v>18</v>
      </c>
      <c r="L65" s="8" t="s">
        <v>70</v>
      </c>
      <c r="M65" s="9">
        <v>9.4</v>
      </c>
      <c r="N65">
        <f t="shared" si="0"/>
        <v>265</v>
      </c>
      <c r="O65" t="str">
        <f t="shared" si="1"/>
        <v>Medium</v>
      </c>
    </row>
    <row r="66" spans="1:15" x14ac:dyDescent="0.25">
      <c r="A66" s="5" t="s">
        <v>229</v>
      </c>
      <c r="B66" s="5" t="s">
        <v>230</v>
      </c>
      <c r="C66" s="5" t="s">
        <v>41</v>
      </c>
      <c r="D66" s="5" t="s">
        <v>42</v>
      </c>
      <c r="E66" s="5">
        <v>9.7100000000000009</v>
      </c>
      <c r="F66" s="5">
        <v>82.6</v>
      </c>
      <c r="G66" s="5">
        <v>62.6</v>
      </c>
      <c r="H66" s="5">
        <v>0</v>
      </c>
      <c r="I66" s="5" t="s">
        <v>231</v>
      </c>
      <c r="J66" s="5">
        <v>2026</v>
      </c>
      <c r="K66" s="5" t="s">
        <v>34</v>
      </c>
      <c r="L66" s="5" t="s">
        <v>79</v>
      </c>
      <c r="M66" s="6"/>
      <c r="N66">
        <f t="shared" si="0"/>
        <v>7</v>
      </c>
      <c r="O66" t="str">
        <f t="shared" si="1"/>
        <v>Very High</v>
      </c>
    </row>
    <row r="67" spans="1:15" x14ac:dyDescent="0.25">
      <c r="A67" s="5" t="s">
        <v>232</v>
      </c>
      <c r="B67" s="8" t="s">
        <v>233</v>
      </c>
      <c r="C67" s="8" t="s">
        <v>22</v>
      </c>
      <c r="D67" s="8" t="s">
        <v>23</v>
      </c>
      <c r="E67" s="8">
        <v>6.56</v>
      </c>
      <c r="F67" s="8">
        <v>65.5</v>
      </c>
      <c r="G67" s="8">
        <v>84.8</v>
      </c>
      <c r="H67" s="8">
        <v>0</v>
      </c>
      <c r="I67" s="8" t="s">
        <v>234</v>
      </c>
      <c r="J67" s="8">
        <v>2026</v>
      </c>
      <c r="K67" s="8" t="s">
        <v>18</v>
      </c>
      <c r="L67" s="8" t="s">
        <v>138</v>
      </c>
      <c r="M67" s="9">
        <v>11.1</v>
      </c>
      <c r="N67">
        <f t="shared" ref="N67:N130" si="2">RANK(E67,$E$2:$E$481,0)</f>
        <v>394</v>
      </c>
      <c r="O67" t="str">
        <f t="shared" ref="O67:O130" si="3">IF(E67&gt;=9,"Very High",IF(E67&gt;=8,"High",IF(E67&gt;=7,"Medium","Low")))</f>
        <v>Low</v>
      </c>
    </row>
    <row r="68" spans="1:15" x14ac:dyDescent="0.25">
      <c r="A68" s="5" t="s">
        <v>235</v>
      </c>
      <c r="B68" s="5" t="s">
        <v>236</v>
      </c>
      <c r="C68" s="5" t="s">
        <v>41</v>
      </c>
      <c r="D68" s="5" t="s">
        <v>28</v>
      </c>
      <c r="E68" s="5">
        <v>6.5</v>
      </c>
      <c r="F68" s="5">
        <v>60.6</v>
      </c>
      <c r="G68" s="5">
        <v>74.8</v>
      </c>
      <c r="H68" s="5">
        <v>2</v>
      </c>
      <c r="I68" s="5" t="s">
        <v>237</v>
      </c>
      <c r="J68" s="5">
        <v>2026</v>
      </c>
      <c r="K68" s="5" t="s">
        <v>34</v>
      </c>
      <c r="L68" s="5" t="s">
        <v>79</v>
      </c>
      <c r="M68" s="6"/>
      <c r="N68">
        <f t="shared" si="2"/>
        <v>403</v>
      </c>
      <c r="O68" t="str">
        <f t="shared" si="3"/>
        <v>Low</v>
      </c>
    </row>
    <row r="69" spans="1:15" x14ac:dyDescent="0.25">
      <c r="A69" s="5" t="s">
        <v>238</v>
      </c>
      <c r="B69" s="8" t="s">
        <v>239</v>
      </c>
      <c r="C69" s="8" t="s">
        <v>22</v>
      </c>
      <c r="D69" s="8" t="s">
        <v>16</v>
      </c>
      <c r="E69" s="8">
        <v>9.24</v>
      </c>
      <c r="F69" s="8">
        <v>85.4</v>
      </c>
      <c r="G69" s="8">
        <v>95.1</v>
      </c>
      <c r="H69" s="8">
        <v>2</v>
      </c>
      <c r="I69" s="8" t="s">
        <v>240</v>
      </c>
      <c r="J69" s="8">
        <v>2026</v>
      </c>
      <c r="K69" s="8" t="s">
        <v>30</v>
      </c>
      <c r="L69" s="8" t="s">
        <v>79</v>
      </c>
      <c r="M69" s="9"/>
      <c r="N69">
        <f t="shared" si="2"/>
        <v>54</v>
      </c>
      <c r="O69" t="str">
        <f t="shared" si="3"/>
        <v>Very High</v>
      </c>
    </row>
    <row r="70" spans="1:15" x14ac:dyDescent="0.25">
      <c r="A70" s="5" t="s">
        <v>241</v>
      </c>
      <c r="B70" s="5" t="s">
        <v>242</v>
      </c>
      <c r="C70" s="5" t="s">
        <v>54</v>
      </c>
      <c r="D70" s="5" t="s">
        <v>169</v>
      </c>
      <c r="E70" s="5">
        <v>9.56</v>
      </c>
      <c r="F70" s="5">
        <v>59.6</v>
      </c>
      <c r="G70" s="5">
        <v>60.8</v>
      </c>
      <c r="H70" s="5">
        <v>0</v>
      </c>
      <c r="I70" s="5" t="s">
        <v>243</v>
      </c>
      <c r="J70" s="5">
        <v>2026</v>
      </c>
      <c r="K70" s="5" t="s">
        <v>34</v>
      </c>
      <c r="L70" s="5" t="s">
        <v>79</v>
      </c>
      <c r="M70" s="6"/>
      <c r="N70">
        <f t="shared" si="2"/>
        <v>26</v>
      </c>
      <c r="O70" t="str">
        <f t="shared" si="3"/>
        <v>Very High</v>
      </c>
    </row>
    <row r="71" spans="1:15" x14ac:dyDescent="0.25">
      <c r="A71" s="5" t="s">
        <v>244</v>
      </c>
      <c r="B71" s="8" t="s">
        <v>245</v>
      </c>
      <c r="C71" s="8" t="s">
        <v>15</v>
      </c>
      <c r="D71" s="8" t="s">
        <v>16</v>
      </c>
      <c r="E71" s="8">
        <v>5.98</v>
      </c>
      <c r="F71" s="8">
        <v>56.6</v>
      </c>
      <c r="G71" s="8">
        <v>95.8</v>
      </c>
      <c r="H71" s="8">
        <v>0</v>
      </c>
      <c r="I71" s="8" t="s">
        <v>246</v>
      </c>
      <c r="J71" s="8">
        <v>2026</v>
      </c>
      <c r="K71" s="8" t="s">
        <v>30</v>
      </c>
      <c r="L71" s="8" t="s">
        <v>79</v>
      </c>
      <c r="M71" s="9"/>
      <c r="N71">
        <f t="shared" si="2"/>
        <v>461</v>
      </c>
      <c r="O71" t="str">
        <f t="shared" si="3"/>
        <v>Low</v>
      </c>
    </row>
    <row r="72" spans="1:15" x14ac:dyDescent="0.25">
      <c r="A72" s="5" t="s">
        <v>247</v>
      </c>
      <c r="B72" s="5" t="s">
        <v>248</v>
      </c>
      <c r="C72" s="5" t="s">
        <v>54</v>
      </c>
      <c r="D72" s="5" t="s">
        <v>169</v>
      </c>
      <c r="E72" s="5">
        <v>8.77</v>
      </c>
      <c r="F72" s="5">
        <v>61.5</v>
      </c>
      <c r="G72" s="5">
        <v>69.099999999999994</v>
      </c>
      <c r="H72" s="5">
        <v>0</v>
      </c>
      <c r="I72" s="5" t="s">
        <v>249</v>
      </c>
      <c r="J72" s="5">
        <v>2026</v>
      </c>
      <c r="K72" s="5" t="s">
        <v>18</v>
      </c>
      <c r="L72" s="5" t="s">
        <v>19</v>
      </c>
      <c r="M72" s="6">
        <v>12.4</v>
      </c>
      <c r="N72">
        <f t="shared" si="2"/>
        <v>112</v>
      </c>
      <c r="O72" t="str">
        <f t="shared" si="3"/>
        <v>High</v>
      </c>
    </row>
    <row r="73" spans="1:15" x14ac:dyDescent="0.25">
      <c r="A73" s="5" t="s">
        <v>250</v>
      </c>
      <c r="B73" s="8" t="s">
        <v>251</v>
      </c>
      <c r="C73" s="8" t="s">
        <v>41</v>
      </c>
      <c r="D73" s="8" t="s">
        <v>42</v>
      </c>
      <c r="E73" s="8">
        <v>7.39</v>
      </c>
      <c r="F73" s="8">
        <v>63</v>
      </c>
      <c r="G73" s="8">
        <v>55.6</v>
      </c>
      <c r="H73" s="8">
        <v>1</v>
      </c>
      <c r="I73" s="8" t="s">
        <v>252</v>
      </c>
      <c r="J73" s="8">
        <v>2026</v>
      </c>
      <c r="K73" s="8" t="s">
        <v>18</v>
      </c>
      <c r="L73" s="8" t="s">
        <v>59</v>
      </c>
      <c r="M73" s="9">
        <v>5.4</v>
      </c>
      <c r="N73">
        <f t="shared" si="2"/>
        <v>291</v>
      </c>
      <c r="O73" t="str">
        <f t="shared" si="3"/>
        <v>Medium</v>
      </c>
    </row>
    <row r="74" spans="1:15" x14ac:dyDescent="0.25">
      <c r="A74" s="5" t="s">
        <v>253</v>
      </c>
      <c r="B74" s="5" t="s">
        <v>254</v>
      </c>
      <c r="C74" s="5" t="s">
        <v>22</v>
      </c>
      <c r="D74" s="5" t="s">
        <v>23</v>
      </c>
      <c r="E74" s="5">
        <v>6.66</v>
      </c>
      <c r="F74" s="5">
        <v>91.5</v>
      </c>
      <c r="G74" s="5">
        <v>65.099999999999994</v>
      </c>
      <c r="H74" s="5">
        <v>0</v>
      </c>
      <c r="I74" s="5" t="s">
        <v>255</v>
      </c>
      <c r="J74" s="5">
        <v>2027</v>
      </c>
      <c r="K74" s="5" t="s">
        <v>34</v>
      </c>
      <c r="L74" s="5" t="s">
        <v>79</v>
      </c>
      <c r="M74" s="6"/>
      <c r="N74">
        <f t="shared" si="2"/>
        <v>380</v>
      </c>
      <c r="O74" t="str">
        <f t="shared" si="3"/>
        <v>Low</v>
      </c>
    </row>
    <row r="75" spans="1:15" x14ac:dyDescent="0.25">
      <c r="A75" s="5" t="s">
        <v>256</v>
      </c>
      <c r="B75" s="8" t="s">
        <v>257</v>
      </c>
      <c r="C75" s="8" t="s">
        <v>22</v>
      </c>
      <c r="D75" s="8" t="s">
        <v>16</v>
      </c>
      <c r="E75" s="8">
        <v>7.23</v>
      </c>
      <c r="F75" s="8">
        <v>88.1</v>
      </c>
      <c r="G75" s="8">
        <v>77.099999999999994</v>
      </c>
      <c r="H75" s="8">
        <v>0</v>
      </c>
      <c r="I75" s="8" t="s">
        <v>258</v>
      </c>
      <c r="J75" s="8">
        <v>2025</v>
      </c>
      <c r="K75" s="8" t="s">
        <v>18</v>
      </c>
      <c r="L75" s="8" t="s">
        <v>259</v>
      </c>
      <c r="M75" s="9">
        <v>11.6</v>
      </c>
      <c r="N75">
        <f t="shared" si="2"/>
        <v>309</v>
      </c>
      <c r="O75" t="str">
        <f t="shared" si="3"/>
        <v>Medium</v>
      </c>
    </row>
    <row r="76" spans="1:15" x14ac:dyDescent="0.25">
      <c r="A76" s="5" t="s">
        <v>260</v>
      </c>
      <c r="B76" s="5" t="s">
        <v>261</v>
      </c>
      <c r="C76" s="5" t="s">
        <v>15</v>
      </c>
      <c r="D76" s="5" t="s">
        <v>28</v>
      </c>
      <c r="E76" s="5">
        <v>7.82</v>
      </c>
      <c r="F76" s="5">
        <v>94.7</v>
      </c>
      <c r="G76" s="5">
        <v>52</v>
      </c>
      <c r="H76" s="5">
        <v>1</v>
      </c>
      <c r="I76" s="5" t="s">
        <v>262</v>
      </c>
      <c r="J76" s="5">
        <v>2026</v>
      </c>
      <c r="K76" s="5" t="s">
        <v>34</v>
      </c>
      <c r="L76" s="5" t="s">
        <v>79</v>
      </c>
      <c r="M76" s="6"/>
      <c r="N76">
        <f t="shared" si="2"/>
        <v>225</v>
      </c>
      <c r="O76" t="str">
        <f t="shared" si="3"/>
        <v>Medium</v>
      </c>
    </row>
    <row r="77" spans="1:15" x14ac:dyDescent="0.25">
      <c r="A77" s="5" t="s">
        <v>263</v>
      </c>
      <c r="B77" s="8" t="s">
        <v>172</v>
      </c>
      <c r="C77" s="8" t="s">
        <v>15</v>
      </c>
      <c r="D77" s="8" t="s">
        <v>16</v>
      </c>
      <c r="E77" s="8">
        <v>7.09</v>
      </c>
      <c r="F77" s="8">
        <v>61.2</v>
      </c>
      <c r="G77" s="8">
        <v>55.8</v>
      </c>
      <c r="H77" s="8">
        <v>0</v>
      </c>
      <c r="I77" s="8" t="s">
        <v>264</v>
      </c>
      <c r="J77" s="8">
        <v>2026</v>
      </c>
      <c r="K77" s="8" t="s">
        <v>30</v>
      </c>
      <c r="L77" s="8" t="s">
        <v>79</v>
      </c>
      <c r="M77" s="9"/>
      <c r="N77">
        <f t="shared" si="2"/>
        <v>324</v>
      </c>
      <c r="O77" t="str">
        <f t="shared" si="3"/>
        <v>Medium</v>
      </c>
    </row>
    <row r="78" spans="1:15" x14ac:dyDescent="0.25">
      <c r="A78" s="5" t="s">
        <v>265</v>
      </c>
      <c r="B78" s="5" t="s">
        <v>266</v>
      </c>
      <c r="C78" s="5" t="s">
        <v>22</v>
      </c>
      <c r="D78" s="5" t="s">
        <v>118</v>
      </c>
      <c r="E78" s="5">
        <v>7.61</v>
      </c>
      <c r="F78" s="5">
        <v>64.599999999999994</v>
      </c>
      <c r="G78" s="5">
        <v>65.599999999999994</v>
      </c>
      <c r="H78" s="5">
        <v>0</v>
      </c>
      <c r="I78" s="5" t="s">
        <v>267</v>
      </c>
      <c r="J78" s="5">
        <v>2026</v>
      </c>
      <c r="K78" s="5" t="s">
        <v>30</v>
      </c>
      <c r="L78" s="5" t="s">
        <v>79</v>
      </c>
      <c r="M78" s="6"/>
      <c r="N78">
        <f t="shared" si="2"/>
        <v>257</v>
      </c>
      <c r="O78" t="str">
        <f t="shared" si="3"/>
        <v>Medium</v>
      </c>
    </row>
    <row r="79" spans="1:15" x14ac:dyDescent="0.25">
      <c r="A79" s="5" t="s">
        <v>268</v>
      </c>
      <c r="B79" s="8" t="s">
        <v>269</v>
      </c>
      <c r="C79" s="8" t="s">
        <v>15</v>
      </c>
      <c r="D79" s="8" t="s">
        <v>16</v>
      </c>
      <c r="E79" s="8">
        <v>9.1300000000000008</v>
      </c>
      <c r="F79" s="8">
        <v>58.9</v>
      </c>
      <c r="G79" s="8">
        <v>54.4</v>
      </c>
      <c r="H79" s="8">
        <v>0</v>
      </c>
      <c r="I79" s="8" t="s">
        <v>270</v>
      </c>
      <c r="J79" s="8">
        <v>2026</v>
      </c>
      <c r="K79" s="8" t="s">
        <v>18</v>
      </c>
      <c r="L79" s="8" t="s">
        <v>108</v>
      </c>
      <c r="M79" s="9">
        <v>10.4</v>
      </c>
      <c r="N79">
        <f t="shared" si="2"/>
        <v>71</v>
      </c>
      <c r="O79" t="str">
        <f t="shared" si="3"/>
        <v>Very High</v>
      </c>
    </row>
    <row r="80" spans="1:15" x14ac:dyDescent="0.25">
      <c r="A80" s="5" t="s">
        <v>271</v>
      </c>
      <c r="B80" s="5" t="s">
        <v>165</v>
      </c>
      <c r="C80" s="5" t="s">
        <v>15</v>
      </c>
      <c r="D80" s="5" t="s">
        <v>28</v>
      </c>
      <c r="E80" s="5">
        <v>8.1999999999999993</v>
      </c>
      <c r="F80" s="5">
        <v>69.8</v>
      </c>
      <c r="G80" s="5">
        <v>76.599999999999994</v>
      </c>
      <c r="H80" s="5">
        <v>0</v>
      </c>
      <c r="I80" s="5" t="s">
        <v>272</v>
      </c>
      <c r="J80" s="5">
        <v>2026</v>
      </c>
      <c r="K80" s="5" t="s">
        <v>30</v>
      </c>
      <c r="L80" s="5" t="s">
        <v>79</v>
      </c>
      <c r="M80" s="6"/>
      <c r="N80">
        <f t="shared" si="2"/>
        <v>181</v>
      </c>
      <c r="O80" t="str">
        <f t="shared" si="3"/>
        <v>High</v>
      </c>
    </row>
    <row r="81" spans="1:15" x14ac:dyDescent="0.25">
      <c r="A81" s="5" t="s">
        <v>273</v>
      </c>
      <c r="B81" s="8" t="s">
        <v>274</v>
      </c>
      <c r="C81" s="8" t="s">
        <v>15</v>
      </c>
      <c r="D81" s="8" t="s">
        <v>62</v>
      </c>
      <c r="E81" s="8">
        <v>9.52</v>
      </c>
      <c r="F81" s="8">
        <v>89.8</v>
      </c>
      <c r="G81" s="8">
        <v>62.3</v>
      </c>
      <c r="H81" s="8">
        <v>0</v>
      </c>
      <c r="I81" s="8" t="s">
        <v>275</v>
      </c>
      <c r="J81" s="8">
        <v>2027</v>
      </c>
      <c r="K81" s="8" t="s">
        <v>18</v>
      </c>
      <c r="L81" s="8" t="s">
        <v>70</v>
      </c>
      <c r="M81" s="9">
        <v>4</v>
      </c>
      <c r="N81">
        <f t="shared" si="2"/>
        <v>31</v>
      </c>
      <c r="O81" t="str">
        <f t="shared" si="3"/>
        <v>Very High</v>
      </c>
    </row>
    <row r="82" spans="1:15" x14ac:dyDescent="0.25">
      <c r="A82" s="5" t="s">
        <v>276</v>
      </c>
      <c r="B82" s="5" t="s">
        <v>277</v>
      </c>
      <c r="C82" s="5" t="s">
        <v>15</v>
      </c>
      <c r="D82" s="5" t="s">
        <v>62</v>
      </c>
      <c r="E82" s="5">
        <v>7.92</v>
      </c>
      <c r="F82" s="5">
        <v>70.8</v>
      </c>
      <c r="G82" s="5">
        <v>70.900000000000006</v>
      </c>
      <c r="H82" s="5">
        <v>0</v>
      </c>
      <c r="I82" s="5" t="s">
        <v>278</v>
      </c>
      <c r="J82" s="5">
        <v>2026</v>
      </c>
      <c r="K82" s="5" t="s">
        <v>30</v>
      </c>
      <c r="L82" s="5" t="s">
        <v>79</v>
      </c>
      <c r="M82" s="6"/>
      <c r="N82">
        <f t="shared" si="2"/>
        <v>212</v>
      </c>
      <c r="O82" t="str">
        <f t="shared" si="3"/>
        <v>Medium</v>
      </c>
    </row>
    <row r="83" spans="1:15" x14ac:dyDescent="0.25">
      <c r="A83" s="5" t="s">
        <v>279</v>
      </c>
      <c r="B83" s="8" t="s">
        <v>280</v>
      </c>
      <c r="C83" s="8" t="s">
        <v>54</v>
      </c>
      <c r="D83" s="8" t="s">
        <v>169</v>
      </c>
      <c r="E83" s="8">
        <v>7.5</v>
      </c>
      <c r="F83" s="8">
        <v>80.5</v>
      </c>
      <c r="G83" s="8">
        <v>69.099999999999994</v>
      </c>
      <c r="H83" s="8">
        <v>0</v>
      </c>
      <c r="I83" s="8" t="s">
        <v>281</v>
      </c>
      <c r="J83" s="8">
        <v>2025</v>
      </c>
      <c r="K83" s="8" t="s">
        <v>30</v>
      </c>
      <c r="L83" s="8" t="s">
        <v>79</v>
      </c>
      <c r="M83" s="9"/>
      <c r="N83">
        <f t="shared" si="2"/>
        <v>276</v>
      </c>
      <c r="O83" t="str">
        <f t="shared" si="3"/>
        <v>Medium</v>
      </c>
    </row>
    <row r="84" spans="1:15" x14ac:dyDescent="0.25">
      <c r="A84" s="5" t="s">
        <v>282</v>
      </c>
      <c r="B84" s="5" t="s">
        <v>283</v>
      </c>
      <c r="C84" s="5" t="s">
        <v>41</v>
      </c>
      <c r="D84" s="5" t="s">
        <v>42</v>
      </c>
      <c r="E84" s="5">
        <v>6.68</v>
      </c>
      <c r="F84" s="5">
        <v>96.3</v>
      </c>
      <c r="G84" s="5">
        <v>52.5</v>
      </c>
      <c r="H84" s="5">
        <v>0</v>
      </c>
      <c r="I84" s="5" t="s">
        <v>284</v>
      </c>
      <c r="J84" s="5">
        <v>2026</v>
      </c>
      <c r="K84" s="5" t="s">
        <v>18</v>
      </c>
      <c r="L84" s="5" t="s">
        <v>157</v>
      </c>
      <c r="M84" s="6">
        <v>7.9</v>
      </c>
      <c r="N84">
        <f t="shared" si="2"/>
        <v>376</v>
      </c>
      <c r="O84" t="str">
        <f t="shared" si="3"/>
        <v>Low</v>
      </c>
    </row>
    <row r="85" spans="1:15" x14ac:dyDescent="0.25">
      <c r="A85" s="5" t="s">
        <v>285</v>
      </c>
      <c r="B85" s="8" t="s">
        <v>286</v>
      </c>
      <c r="C85" s="8" t="s">
        <v>22</v>
      </c>
      <c r="D85" s="8" t="s">
        <v>23</v>
      </c>
      <c r="E85" s="8">
        <v>8.0299999999999994</v>
      </c>
      <c r="F85" s="8">
        <v>83.1</v>
      </c>
      <c r="G85" s="8">
        <v>66.3</v>
      </c>
      <c r="H85" s="8">
        <v>0</v>
      </c>
      <c r="I85" s="8" t="s">
        <v>107</v>
      </c>
      <c r="J85" s="8">
        <v>2026</v>
      </c>
      <c r="K85" s="8" t="s">
        <v>18</v>
      </c>
      <c r="L85" s="8" t="s">
        <v>138</v>
      </c>
      <c r="M85" s="9">
        <v>9.4</v>
      </c>
      <c r="N85">
        <f t="shared" si="2"/>
        <v>203</v>
      </c>
      <c r="O85" t="str">
        <f t="shared" si="3"/>
        <v>High</v>
      </c>
    </row>
    <row r="86" spans="1:15" x14ac:dyDescent="0.25">
      <c r="A86" s="5" t="s">
        <v>287</v>
      </c>
      <c r="B86" s="5" t="s">
        <v>21</v>
      </c>
      <c r="C86" s="5" t="s">
        <v>54</v>
      </c>
      <c r="D86" s="5" t="s">
        <v>46</v>
      </c>
      <c r="E86" s="5">
        <v>6.26</v>
      </c>
      <c r="F86" s="5">
        <v>55.9</v>
      </c>
      <c r="G86" s="5">
        <v>64.900000000000006</v>
      </c>
      <c r="H86" s="5">
        <v>1</v>
      </c>
      <c r="I86" s="5" t="s">
        <v>288</v>
      </c>
      <c r="J86" s="5">
        <v>2026</v>
      </c>
      <c r="K86" s="5" t="s">
        <v>30</v>
      </c>
      <c r="L86" s="5" t="s">
        <v>79</v>
      </c>
      <c r="M86" s="6"/>
      <c r="N86">
        <f t="shared" si="2"/>
        <v>426</v>
      </c>
      <c r="O86" t="str">
        <f t="shared" si="3"/>
        <v>Low</v>
      </c>
    </row>
    <row r="87" spans="1:15" x14ac:dyDescent="0.25">
      <c r="A87" s="5" t="s">
        <v>289</v>
      </c>
      <c r="B87" s="8" t="s">
        <v>290</v>
      </c>
      <c r="C87" s="8" t="s">
        <v>41</v>
      </c>
      <c r="D87" s="8" t="s">
        <v>209</v>
      </c>
      <c r="E87" s="8">
        <v>6.69</v>
      </c>
      <c r="F87" s="8">
        <v>87.7</v>
      </c>
      <c r="G87" s="8">
        <v>53.5</v>
      </c>
      <c r="H87" s="8">
        <v>0</v>
      </c>
      <c r="I87" s="8" t="s">
        <v>291</v>
      </c>
      <c r="J87" s="8">
        <v>2026</v>
      </c>
      <c r="K87" s="8" t="s">
        <v>18</v>
      </c>
      <c r="L87" s="8" t="s">
        <v>19</v>
      </c>
      <c r="M87" s="9">
        <v>5.0999999999999996</v>
      </c>
      <c r="N87">
        <f t="shared" si="2"/>
        <v>375</v>
      </c>
      <c r="O87" t="str">
        <f t="shared" si="3"/>
        <v>Low</v>
      </c>
    </row>
    <row r="88" spans="1:15" x14ac:dyDescent="0.25">
      <c r="A88" s="5" t="s">
        <v>292</v>
      </c>
      <c r="B88" s="5" t="s">
        <v>293</v>
      </c>
      <c r="C88" s="5" t="s">
        <v>22</v>
      </c>
      <c r="D88" s="5" t="s">
        <v>23</v>
      </c>
      <c r="E88" s="5">
        <v>7.78</v>
      </c>
      <c r="F88" s="5">
        <v>86.7</v>
      </c>
      <c r="G88" s="5">
        <v>85</v>
      </c>
      <c r="H88" s="5">
        <v>0</v>
      </c>
      <c r="I88" s="5" t="s">
        <v>294</v>
      </c>
      <c r="J88" s="5">
        <v>2026</v>
      </c>
      <c r="K88" s="5" t="s">
        <v>34</v>
      </c>
      <c r="L88" s="5" t="s">
        <v>79</v>
      </c>
      <c r="M88" s="6"/>
      <c r="N88">
        <f t="shared" si="2"/>
        <v>230</v>
      </c>
      <c r="O88" t="str">
        <f t="shared" si="3"/>
        <v>Medium</v>
      </c>
    </row>
    <row r="89" spans="1:15" x14ac:dyDescent="0.25">
      <c r="A89" s="5" t="s">
        <v>295</v>
      </c>
      <c r="B89" s="8" t="s">
        <v>296</v>
      </c>
      <c r="C89" s="8" t="s">
        <v>41</v>
      </c>
      <c r="D89" s="8" t="s">
        <v>42</v>
      </c>
      <c r="E89" s="8">
        <v>7.04</v>
      </c>
      <c r="F89" s="8">
        <v>74</v>
      </c>
      <c r="G89" s="8">
        <v>52.6</v>
      </c>
      <c r="H89" s="8">
        <v>1</v>
      </c>
      <c r="I89" s="8" t="s">
        <v>51</v>
      </c>
      <c r="J89" s="8">
        <v>2026</v>
      </c>
      <c r="K89" s="8" t="s">
        <v>30</v>
      </c>
      <c r="L89" s="8" t="s">
        <v>79</v>
      </c>
      <c r="M89" s="9"/>
      <c r="N89">
        <f t="shared" si="2"/>
        <v>334</v>
      </c>
      <c r="O89" t="str">
        <f t="shared" si="3"/>
        <v>Medium</v>
      </c>
    </row>
    <row r="90" spans="1:15" x14ac:dyDescent="0.25">
      <c r="A90" s="5" t="s">
        <v>297</v>
      </c>
      <c r="B90" s="5" t="s">
        <v>298</v>
      </c>
      <c r="C90" s="5" t="s">
        <v>54</v>
      </c>
      <c r="D90" s="5" t="s">
        <v>169</v>
      </c>
      <c r="E90" s="5">
        <v>8.41</v>
      </c>
      <c r="F90" s="5">
        <v>68.5</v>
      </c>
      <c r="G90" s="5">
        <v>71.900000000000006</v>
      </c>
      <c r="H90" s="5">
        <v>0</v>
      </c>
      <c r="I90" s="5" t="s">
        <v>198</v>
      </c>
      <c r="J90" s="5">
        <v>2026</v>
      </c>
      <c r="K90" s="5" t="s">
        <v>30</v>
      </c>
      <c r="L90" s="5" t="s">
        <v>79</v>
      </c>
      <c r="M90" s="6"/>
      <c r="N90">
        <f t="shared" si="2"/>
        <v>153</v>
      </c>
      <c r="O90" t="str">
        <f t="shared" si="3"/>
        <v>High</v>
      </c>
    </row>
    <row r="91" spans="1:15" x14ac:dyDescent="0.25">
      <c r="A91" s="5" t="s">
        <v>299</v>
      </c>
      <c r="B91" s="8" t="s">
        <v>300</v>
      </c>
      <c r="C91" s="8" t="s">
        <v>22</v>
      </c>
      <c r="D91" s="8" t="s">
        <v>16</v>
      </c>
      <c r="E91" s="8">
        <v>6.79</v>
      </c>
      <c r="F91" s="8">
        <v>73.400000000000006</v>
      </c>
      <c r="G91" s="8">
        <v>70.2</v>
      </c>
      <c r="H91" s="8">
        <v>0</v>
      </c>
      <c r="I91" s="8" t="s">
        <v>301</v>
      </c>
      <c r="J91" s="8">
        <v>2026</v>
      </c>
      <c r="K91" s="8" t="s">
        <v>30</v>
      </c>
      <c r="L91" s="8" t="s">
        <v>79</v>
      </c>
      <c r="M91" s="9"/>
      <c r="N91">
        <f t="shared" si="2"/>
        <v>364</v>
      </c>
      <c r="O91" t="str">
        <f t="shared" si="3"/>
        <v>Low</v>
      </c>
    </row>
    <row r="92" spans="1:15" x14ac:dyDescent="0.25">
      <c r="A92" s="5" t="s">
        <v>302</v>
      </c>
      <c r="B92" s="5" t="s">
        <v>303</v>
      </c>
      <c r="C92" s="5" t="s">
        <v>41</v>
      </c>
      <c r="D92" s="5" t="s">
        <v>42</v>
      </c>
      <c r="E92" s="5">
        <v>7.12</v>
      </c>
      <c r="F92" s="5">
        <v>78.400000000000006</v>
      </c>
      <c r="G92" s="5">
        <v>67.8</v>
      </c>
      <c r="H92" s="5">
        <v>0</v>
      </c>
      <c r="I92" s="5" t="s">
        <v>304</v>
      </c>
      <c r="J92" s="5">
        <v>2027</v>
      </c>
      <c r="K92" s="5" t="s">
        <v>18</v>
      </c>
      <c r="L92" s="5" t="s">
        <v>95</v>
      </c>
      <c r="M92" s="6">
        <v>10.7</v>
      </c>
      <c r="N92">
        <f t="shared" si="2"/>
        <v>321</v>
      </c>
      <c r="O92" t="str">
        <f t="shared" si="3"/>
        <v>Medium</v>
      </c>
    </row>
    <row r="93" spans="1:15" x14ac:dyDescent="0.25">
      <c r="A93" s="5" t="s">
        <v>305</v>
      </c>
      <c r="B93" s="8" t="s">
        <v>306</v>
      </c>
      <c r="C93" s="8" t="s">
        <v>15</v>
      </c>
      <c r="D93" s="8" t="s">
        <v>28</v>
      </c>
      <c r="E93" s="8">
        <v>8.0399999999999991</v>
      </c>
      <c r="F93" s="8">
        <v>82</v>
      </c>
      <c r="G93" s="8">
        <v>65.099999999999994</v>
      </c>
      <c r="H93" s="8">
        <v>0</v>
      </c>
      <c r="I93" s="8" t="s">
        <v>307</v>
      </c>
      <c r="J93" s="8">
        <v>2026</v>
      </c>
      <c r="K93" s="8" t="s">
        <v>18</v>
      </c>
      <c r="L93" s="8" t="s">
        <v>308</v>
      </c>
      <c r="M93" s="9">
        <v>13.5</v>
      </c>
      <c r="N93">
        <f t="shared" si="2"/>
        <v>201</v>
      </c>
      <c r="O93" t="str">
        <f t="shared" si="3"/>
        <v>High</v>
      </c>
    </row>
    <row r="94" spans="1:15" x14ac:dyDescent="0.25">
      <c r="A94" s="5" t="s">
        <v>309</v>
      </c>
      <c r="B94" s="5" t="s">
        <v>310</v>
      </c>
      <c r="C94" s="5" t="s">
        <v>22</v>
      </c>
      <c r="D94" s="5" t="s">
        <v>16</v>
      </c>
      <c r="E94" s="5">
        <v>9.8000000000000007</v>
      </c>
      <c r="F94" s="5">
        <v>61.5</v>
      </c>
      <c r="G94" s="5">
        <v>63.6</v>
      </c>
      <c r="H94" s="5">
        <v>1</v>
      </c>
      <c r="I94" s="5" t="s">
        <v>311</v>
      </c>
      <c r="J94" s="5">
        <v>2026</v>
      </c>
      <c r="K94" s="5" t="s">
        <v>18</v>
      </c>
      <c r="L94" s="5" t="s">
        <v>308</v>
      </c>
      <c r="M94" s="6">
        <v>12.2</v>
      </c>
      <c r="N94">
        <f t="shared" si="2"/>
        <v>1</v>
      </c>
      <c r="O94" t="str">
        <f t="shared" si="3"/>
        <v>Very High</v>
      </c>
    </row>
    <row r="95" spans="1:15" x14ac:dyDescent="0.25">
      <c r="A95" s="5" t="s">
        <v>312</v>
      </c>
      <c r="B95" s="8" t="s">
        <v>313</v>
      </c>
      <c r="C95" s="8" t="s">
        <v>22</v>
      </c>
      <c r="D95" s="8" t="s">
        <v>23</v>
      </c>
      <c r="E95" s="8">
        <v>7.55</v>
      </c>
      <c r="F95" s="8">
        <v>72.3</v>
      </c>
      <c r="G95" s="8">
        <v>81.099999999999994</v>
      </c>
      <c r="H95" s="8">
        <v>0</v>
      </c>
      <c r="I95" s="8" t="s">
        <v>314</v>
      </c>
      <c r="J95" s="8">
        <v>2026</v>
      </c>
      <c r="K95" s="8" t="s">
        <v>34</v>
      </c>
      <c r="L95" s="8" t="s">
        <v>79</v>
      </c>
      <c r="M95" s="9"/>
      <c r="N95">
        <f t="shared" si="2"/>
        <v>268</v>
      </c>
      <c r="O95" t="str">
        <f t="shared" si="3"/>
        <v>Medium</v>
      </c>
    </row>
    <row r="96" spans="1:15" x14ac:dyDescent="0.25">
      <c r="A96" s="5" t="s">
        <v>315</v>
      </c>
      <c r="B96" s="5" t="s">
        <v>316</v>
      </c>
      <c r="C96" s="5" t="s">
        <v>41</v>
      </c>
      <c r="D96" s="5" t="s">
        <v>28</v>
      </c>
      <c r="E96" s="5">
        <v>7.65</v>
      </c>
      <c r="F96" s="5">
        <v>66.8</v>
      </c>
      <c r="G96" s="5">
        <v>67.599999999999994</v>
      </c>
      <c r="H96" s="5">
        <v>0</v>
      </c>
      <c r="I96" s="5" t="s">
        <v>317</v>
      </c>
      <c r="J96" s="5">
        <v>2025</v>
      </c>
      <c r="K96" s="5" t="s">
        <v>34</v>
      </c>
      <c r="L96" s="5" t="s">
        <v>79</v>
      </c>
      <c r="M96" s="6"/>
      <c r="N96">
        <f t="shared" si="2"/>
        <v>250</v>
      </c>
      <c r="O96" t="str">
        <f t="shared" si="3"/>
        <v>Medium</v>
      </c>
    </row>
    <row r="97" spans="1:15" x14ac:dyDescent="0.25">
      <c r="A97" s="5" t="s">
        <v>318</v>
      </c>
      <c r="B97" s="8" t="s">
        <v>319</v>
      </c>
      <c r="C97" s="8" t="s">
        <v>15</v>
      </c>
      <c r="D97" s="8" t="s">
        <v>28</v>
      </c>
      <c r="E97" s="8">
        <v>6.14</v>
      </c>
      <c r="F97" s="8">
        <v>61.7</v>
      </c>
      <c r="G97" s="8">
        <v>70.7</v>
      </c>
      <c r="H97" s="8">
        <v>0</v>
      </c>
      <c r="I97" s="8" t="s">
        <v>320</v>
      </c>
      <c r="J97" s="8">
        <v>2026</v>
      </c>
      <c r="K97" s="8" t="s">
        <v>34</v>
      </c>
      <c r="L97" s="8" t="s">
        <v>79</v>
      </c>
      <c r="M97" s="9"/>
      <c r="N97">
        <f t="shared" si="2"/>
        <v>437</v>
      </c>
      <c r="O97" t="str">
        <f t="shared" si="3"/>
        <v>Low</v>
      </c>
    </row>
    <row r="98" spans="1:15" x14ac:dyDescent="0.25">
      <c r="A98" s="5" t="s">
        <v>321</v>
      </c>
      <c r="B98" s="5" t="s">
        <v>322</v>
      </c>
      <c r="C98" s="5" t="s">
        <v>15</v>
      </c>
      <c r="D98" s="5" t="s">
        <v>28</v>
      </c>
      <c r="E98" s="5">
        <v>6.7</v>
      </c>
      <c r="F98" s="5">
        <v>68.400000000000006</v>
      </c>
      <c r="G98" s="5">
        <v>54.6</v>
      </c>
      <c r="H98" s="5">
        <v>0</v>
      </c>
      <c r="I98" s="5" t="s">
        <v>323</v>
      </c>
      <c r="J98" s="5">
        <v>2027</v>
      </c>
      <c r="K98" s="5" t="s">
        <v>34</v>
      </c>
      <c r="L98" s="5" t="s">
        <v>79</v>
      </c>
      <c r="M98" s="6"/>
      <c r="N98">
        <f t="shared" si="2"/>
        <v>374</v>
      </c>
      <c r="O98" t="str">
        <f t="shared" si="3"/>
        <v>Low</v>
      </c>
    </row>
    <row r="99" spans="1:15" x14ac:dyDescent="0.25">
      <c r="A99" s="5" t="s">
        <v>324</v>
      </c>
      <c r="B99" s="8" t="s">
        <v>236</v>
      </c>
      <c r="C99" s="8" t="s">
        <v>54</v>
      </c>
      <c r="D99" s="8" t="s">
        <v>169</v>
      </c>
      <c r="E99" s="8">
        <v>5.82</v>
      </c>
      <c r="F99" s="8">
        <v>58.3</v>
      </c>
      <c r="G99" s="8">
        <v>61.8</v>
      </c>
      <c r="H99" s="8">
        <v>1</v>
      </c>
      <c r="I99" s="8" t="s">
        <v>325</v>
      </c>
      <c r="J99" s="8">
        <v>2025</v>
      </c>
      <c r="K99" s="8" t="s">
        <v>30</v>
      </c>
      <c r="L99" s="8" t="s">
        <v>79</v>
      </c>
      <c r="M99" s="9"/>
      <c r="N99">
        <f t="shared" si="2"/>
        <v>475</v>
      </c>
      <c r="O99" t="str">
        <f t="shared" si="3"/>
        <v>Low</v>
      </c>
    </row>
    <row r="100" spans="1:15" x14ac:dyDescent="0.25">
      <c r="A100" s="5" t="s">
        <v>326</v>
      </c>
      <c r="B100" s="5" t="s">
        <v>327</v>
      </c>
      <c r="C100" s="5" t="s">
        <v>15</v>
      </c>
      <c r="D100" s="5" t="s">
        <v>28</v>
      </c>
      <c r="E100" s="5">
        <v>8.19</v>
      </c>
      <c r="F100" s="5">
        <v>55.7</v>
      </c>
      <c r="G100" s="5">
        <v>73.7</v>
      </c>
      <c r="H100" s="5">
        <v>0</v>
      </c>
      <c r="I100" s="5" t="s">
        <v>328</v>
      </c>
      <c r="J100" s="5">
        <v>2026</v>
      </c>
      <c r="K100" s="5" t="s">
        <v>18</v>
      </c>
      <c r="L100" s="5" t="s">
        <v>70</v>
      </c>
      <c r="M100" s="6">
        <v>5.2</v>
      </c>
      <c r="N100">
        <f t="shared" si="2"/>
        <v>183</v>
      </c>
      <c r="O100" t="str">
        <f t="shared" si="3"/>
        <v>High</v>
      </c>
    </row>
    <row r="101" spans="1:15" x14ac:dyDescent="0.25">
      <c r="A101" s="5" t="s">
        <v>329</v>
      </c>
      <c r="B101" s="8" t="s">
        <v>330</v>
      </c>
      <c r="C101" s="8" t="s">
        <v>41</v>
      </c>
      <c r="D101" s="8" t="s">
        <v>42</v>
      </c>
      <c r="E101" s="8">
        <v>9.61</v>
      </c>
      <c r="F101" s="8">
        <v>77.900000000000006</v>
      </c>
      <c r="G101" s="8">
        <v>86.2</v>
      </c>
      <c r="H101" s="8">
        <v>0</v>
      </c>
      <c r="I101" s="8" t="s">
        <v>331</v>
      </c>
      <c r="J101" s="8">
        <v>2025</v>
      </c>
      <c r="K101" s="8" t="s">
        <v>18</v>
      </c>
      <c r="L101" s="8" t="s">
        <v>138</v>
      </c>
      <c r="M101" s="9">
        <v>5.9</v>
      </c>
      <c r="N101">
        <f t="shared" si="2"/>
        <v>19</v>
      </c>
      <c r="O101" t="str">
        <f t="shared" si="3"/>
        <v>Very High</v>
      </c>
    </row>
    <row r="102" spans="1:15" x14ac:dyDescent="0.25">
      <c r="A102" s="5" t="s">
        <v>332</v>
      </c>
      <c r="B102" s="5" t="s">
        <v>333</v>
      </c>
      <c r="C102" s="5" t="s">
        <v>15</v>
      </c>
      <c r="D102" s="5" t="s">
        <v>28</v>
      </c>
      <c r="E102" s="5">
        <v>6.76</v>
      </c>
      <c r="F102" s="5">
        <v>82.6</v>
      </c>
      <c r="G102" s="5">
        <v>54.8</v>
      </c>
      <c r="H102" s="5">
        <v>0</v>
      </c>
      <c r="I102" s="5" t="s">
        <v>334</v>
      </c>
      <c r="J102" s="5">
        <v>2026</v>
      </c>
      <c r="K102" s="5" t="s">
        <v>30</v>
      </c>
      <c r="L102" s="5" t="s">
        <v>79</v>
      </c>
      <c r="M102" s="6"/>
      <c r="N102">
        <f t="shared" si="2"/>
        <v>368</v>
      </c>
      <c r="O102" t="str">
        <f t="shared" si="3"/>
        <v>Low</v>
      </c>
    </row>
    <row r="103" spans="1:15" x14ac:dyDescent="0.25">
      <c r="A103" s="5" t="s">
        <v>335</v>
      </c>
      <c r="B103" s="8" t="s">
        <v>251</v>
      </c>
      <c r="C103" s="8" t="s">
        <v>22</v>
      </c>
      <c r="D103" s="8" t="s">
        <v>16</v>
      </c>
      <c r="E103" s="8">
        <v>6.05</v>
      </c>
      <c r="F103" s="8">
        <v>87.6</v>
      </c>
      <c r="G103" s="8">
        <v>71.099999999999994</v>
      </c>
      <c r="H103" s="8">
        <v>0</v>
      </c>
      <c r="I103" s="8" t="s">
        <v>336</v>
      </c>
      <c r="J103" s="8">
        <v>2026</v>
      </c>
      <c r="K103" s="8" t="s">
        <v>34</v>
      </c>
      <c r="L103" s="8" t="s">
        <v>79</v>
      </c>
      <c r="M103" s="9"/>
      <c r="N103">
        <f t="shared" si="2"/>
        <v>450</v>
      </c>
      <c r="O103" t="str">
        <f t="shared" si="3"/>
        <v>Low</v>
      </c>
    </row>
    <row r="104" spans="1:15" x14ac:dyDescent="0.25">
      <c r="A104" s="5" t="s">
        <v>337</v>
      </c>
      <c r="B104" s="5" t="s">
        <v>338</v>
      </c>
      <c r="C104" s="5" t="s">
        <v>54</v>
      </c>
      <c r="D104" s="5" t="s">
        <v>46</v>
      </c>
      <c r="E104" s="5">
        <v>5.95</v>
      </c>
      <c r="F104" s="5">
        <v>82.2</v>
      </c>
      <c r="G104" s="5">
        <v>63.2</v>
      </c>
      <c r="H104" s="5">
        <v>1</v>
      </c>
      <c r="I104" s="5" t="s">
        <v>339</v>
      </c>
      <c r="J104" s="5">
        <v>2025</v>
      </c>
      <c r="K104" s="5" t="s">
        <v>34</v>
      </c>
      <c r="L104" s="5" t="s">
        <v>79</v>
      </c>
      <c r="M104" s="6"/>
      <c r="N104">
        <f t="shared" si="2"/>
        <v>465</v>
      </c>
      <c r="O104" t="str">
        <f t="shared" si="3"/>
        <v>Low</v>
      </c>
    </row>
    <row r="105" spans="1:15" x14ac:dyDescent="0.25">
      <c r="A105" s="5" t="s">
        <v>340</v>
      </c>
      <c r="B105" s="8" t="s">
        <v>341</v>
      </c>
      <c r="C105" s="8" t="s">
        <v>54</v>
      </c>
      <c r="D105" s="8" t="s">
        <v>46</v>
      </c>
      <c r="E105" s="8">
        <v>9.69</v>
      </c>
      <c r="F105" s="8">
        <v>75.8</v>
      </c>
      <c r="G105" s="8">
        <v>72.900000000000006</v>
      </c>
      <c r="H105" s="8">
        <v>2</v>
      </c>
      <c r="I105" s="8" t="s">
        <v>342</v>
      </c>
      <c r="J105" s="8">
        <v>2026</v>
      </c>
      <c r="K105" s="8" t="s">
        <v>30</v>
      </c>
      <c r="L105" s="8" t="s">
        <v>79</v>
      </c>
      <c r="M105" s="9"/>
      <c r="N105">
        <f t="shared" si="2"/>
        <v>10</v>
      </c>
      <c r="O105" t="str">
        <f t="shared" si="3"/>
        <v>Very High</v>
      </c>
    </row>
    <row r="106" spans="1:15" x14ac:dyDescent="0.25">
      <c r="A106" s="5" t="s">
        <v>343</v>
      </c>
      <c r="B106" s="5" t="s">
        <v>344</v>
      </c>
      <c r="C106" s="5" t="s">
        <v>15</v>
      </c>
      <c r="D106" s="5" t="s">
        <v>16</v>
      </c>
      <c r="E106" s="5">
        <v>7.11</v>
      </c>
      <c r="F106" s="5">
        <v>67.400000000000006</v>
      </c>
      <c r="G106" s="5">
        <v>70.5</v>
      </c>
      <c r="H106" s="5">
        <v>0</v>
      </c>
      <c r="I106" s="5" t="s">
        <v>345</v>
      </c>
      <c r="J106" s="5">
        <v>2025</v>
      </c>
      <c r="K106" s="5" t="s">
        <v>34</v>
      </c>
      <c r="L106" s="5" t="s">
        <v>79</v>
      </c>
      <c r="M106" s="6"/>
      <c r="N106">
        <f t="shared" si="2"/>
        <v>322</v>
      </c>
      <c r="O106" t="str">
        <f t="shared" si="3"/>
        <v>Medium</v>
      </c>
    </row>
    <row r="107" spans="1:15" x14ac:dyDescent="0.25">
      <c r="A107" s="5" t="s">
        <v>346</v>
      </c>
      <c r="B107" s="8" t="s">
        <v>347</v>
      </c>
      <c r="C107" s="8" t="s">
        <v>41</v>
      </c>
      <c r="D107" s="8" t="s">
        <v>42</v>
      </c>
      <c r="E107" s="8">
        <v>6.1</v>
      </c>
      <c r="F107" s="8">
        <v>81.8</v>
      </c>
      <c r="G107" s="8">
        <v>66.7</v>
      </c>
      <c r="H107" s="8">
        <v>1</v>
      </c>
      <c r="I107" s="8" t="s">
        <v>348</v>
      </c>
      <c r="J107" s="8">
        <v>2025</v>
      </c>
      <c r="K107" s="8" t="s">
        <v>18</v>
      </c>
      <c r="L107" s="8" t="s">
        <v>25</v>
      </c>
      <c r="M107" s="9">
        <v>10.199999999999999</v>
      </c>
      <c r="N107">
        <f t="shared" si="2"/>
        <v>442</v>
      </c>
      <c r="O107" t="str">
        <f t="shared" si="3"/>
        <v>Low</v>
      </c>
    </row>
    <row r="108" spans="1:15" x14ac:dyDescent="0.25">
      <c r="A108" s="5" t="s">
        <v>349</v>
      </c>
      <c r="B108" s="5" t="s">
        <v>350</v>
      </c>
      <c r="C108" s="5" t="s">
        <v>15</v>
      </c>
      <c r="D108" s="5" t="s">
        <v>62</v>
      </c>
      <c r="E108" s="5">
        <v>6.41</v>
      </c>
      <c r="F108" s="5">
        <v>73.900000000000006</v>
      </c>
      <c r="G108" s="5">
        <v>67.099999999999994</v>
      </c>
      <c r="H108" s="5">
        <v>0</v>
      </c>
      <c r="I108" s="5" t="s">
        <v>351</v>
      </c>
      <c r="J108" s="5">
        <v>2026</v>
      </c>
      <c r="K108" s="5" t="s">
        <v>30</v>
      </c>
      <c r="L108" s="5" t="s">
        <v>79</v>
      </c>
      <c r="M108" s="6"/>
      <c r="N108">
        <f t="shared" si="2"/>
        <v>415</v>
      </c>
      <c r="O108" t="str">
        <f t="shared" si="3"/>
        <v>Low</v>
      </c>
    </row>
    <row r="109" spans="1:15" x14ac:dyDescent="0.25">
      <c r="A109" s="5" t="s">
        <v>352</v>
      </c>
      <c r="B109" s="8" t="s">
        <v>353</v>
      </c>
      <c r="C109" s="8" t="s">
        <v>15</v>
      </c>
      <c r="D109" s="8" t="s">
        <v>16</v>
      </c>
      <c r="E109" s="8">
        <v>8.74</v>
      </c>
      <c r="F109" s="8">
        <v>76</v>
      </c>
      <c r="G109" s="8">
        <v>67.8</v>
      </c>
      <c r="H109" s="8">
        <v>0</v>
      </c>
      <c r="I109" s="8" t="s">
        <v>354</v>
      </c>
      <c r="J109" s="8">
        <v>2026</v>
      </c>
      <c r="K109" s="8" t="s">
        <v>34</v>
      </c>
      <c r="L109" s="8" t="s">
        <v>79</v>
      </c>
      <c r="M109" s="9"/>
      <c r="N109">
        <f t="shared" si="2"/>
        <v>117</v>
      </c>
      <c r="O109" t="str">
        <f t="shared" si="3"/>
        <v>High</v>
      </c>
    </row>
    <row r="110" spans="1:15" x14ac:dyDescent="0.25">
      <c r="A110" s="5" t="s">
        <v>355</v>
      </c>
      <c r="B110" s="5" t="s">
        <v>356</v>
      </c>
      <c r="C110" s="5" t="s">
        <v>22</v>
      </c>
      <c r="D110" s="5" t="s">
        <v>16</v>
      </c>
      <c r="E110" s="5">
        <v>7.61</v>
      </c>
      <c r="F110" s="5">
        <v>92.7</v>
      </c>
      <c r="G110" s="5">
        <v>70.5</v>
      </c>
      <c r="H110" s="5">
        <v>0</v>
      </c>
      <c r="I110" s="5" t="s">
        <v>357</v>
      </c>
      <c r="J110" s="5">
        <v>2027</v>
      </c>
      <c r="K110" s="5" t="s">
        <v>30</v>
      </c>
      <c r="L110" s="5" t="s">
        <v>79</v>
      </c>
      <c r="M110" s="6"/>
      <c r="N110">
        <f t="shared" si="2"/>
        <v>257</v>
      </c>
      <c r="O110" t="str">
        <f t="shared" si="3"/>
        <v>Medium</v>
      </c>
    </row>
    <row r="111" spans="1:15" x14ac:dyDescent="0.25">
      <c r="A111" s="5" t="s">
        <v>358</v>
      </c>
      <c r="B111" s="8" t="s">
        <v>359</v>
      </c>
      <c r="C111" s="8" t="s">
        <v>41</v>
      </c>
      <c r="D111" s="8" t="s">
        <v>46</v>
      </c>
      <c r="E111" s="8">
        <v>6.29</v>
      </c>
      <c r="F111" s="8">
        <v>63.4</v>
      </c>
      <c r="G111" s="8">
        <v>56.4</v>
      </c>
      <c r="H111" s="8">
        <v>1</v>
      </c>
      <c r="I111" s="8" t="s">
        <v>360</v>
      </c>
      <c r="J111" s="8">
        <v>2026</v>
      </c>
      <c r="K111" s="8" t="s">
        <v>30</v>
      </c>
      <c r="L111" s="8" t="s">
        <v>79</v>
      </c>
      <c r="M111" s="9"/>
      <c r="N111">
        <f t="shared" si="2"/>
        <v>424</v>
      </c>
      <c r="O111" t="str">
        <f t="shared" si="3"/>
        <v>Low</v>
      </c>
    </row>
    <row r="112" spans="1:15" x14ac:dyDescent="0.25">
      <c r="A112" s="5" t="s">
        <v>361</v>
      </c>
      <c r="B112" s="5" t="s">
        <v>362</v>
      </c>
      <c r="C112" s="5" t="s">
        <v>15</v>
      </c>
      <c r="D112" s="5" t="s">
        <v>16</v>
      </c>
      <c r="E112" s="5">
        <v>7.04</v>
      </c>
      <c r="F112" s="5">
        <v>97</v>
      </c>
      <c r="G112" s="5">
        <v>83.1</v>
      </c>
      <c r="H112" s="5">
        <v>0</v>
      </c>
      <c r="I112" s="5" t="s">
        <v>363</v>
      </c>
      <c r="J112" s="5">
        <v>2025</v>
      </c>
      <c r="K112" s="5" t="s">
        <v>30</v>
      </c>
      <c r="L112" s="5" t="s">
        <v>79</v>
      </c>
      <c r="M112" s="6"/>
      <c r="N112">
        <f t="shared" si="2"/>
        <v>334</v>
      </c>
      <c r="O112" t="str">
        <f t="shared" si="3"/>
        <v>Medium</v>
      </c>
    </row>
    <row r="113" spans="1:15" x14ac:dyDescent="0.25">
      <c r="A113" s="5" t="s">
        <v>364</v>
      </c>
      <c r="B113" s="8" t="s">
        <v>365</v>
      </c>
      <c r="C113" s="8" t="s">
        <v>22</v>
      </c>
      <c r="D113" s="8" t="s">
        <v>16</v>
      </c>
      <c r="E113" s="8">
        <v>7.53</v>
      </c>
      <c r="F113" s="8">
        <v>93.2</v>
      </c>
      <c r="G113" s="8">
        <v>52.5</v>
      </c>
      <c r="H113" s="8">
        <v>0</v>
      </c>
      <c r="I113" s="8" t="s">
        <v>366</v>
      </c>
      <c r="J113" s="8">
        <v>2026</v>
      </c>
      <c r="K113" s="8" t="s">
        <v>34</v>
      </c>
      <c r="L113" s="8" t="s">
        <v>79</v>
      </c>
      <c r="M113" s="9"/>
      <c r="N113">
        <f t="shared" si="2"/>
        <v>272</v>
      </c>
      <c r="O113" t="str">
        <f t="shared" si="3"/>
        <v>Medium</v>
      </c>
    </row>
    <row r="114" spans="1:15" x14ac:dyDescent="0.25">
      <c r="A114" s="5" t="s">
        <v>367</v>
      </c>
      <c r="B114" s="5" t="s">
        <v>368</v>
      </c>
      <c r="C114" s="5" t="s">
        <v>15</v>
      </c>
      <c r="D114" s="5" t="s">
        <v>28</v>
      </c>
      <c r="E114" s="5">
        <v>6.59</v>
      </c>
      <c r="F114" s="5">
        <v>95.2</v>
      </c>
      <c r="G114" s="5">
        <v>62.6</v>
      </c>
      <c r="H114" s="5">
        <v>0</v>
      </c>
      <c r="I114" s="5" t="s">
        <v>369</v>
      </c>
      <c r="J114" s="5">
        <v>2026</v>
      </c>
      <c r="K114" s="5" t="s">
        <v>34</v>
      </c>
      <c r="L114" s="5" t="s">
        <v>79</v>
      </c>
      <c r="M114" s="6"/>
      <c r="N114">
        <f t="shared" si="2"/>
        <v>390</v>
      </c>
      <c r="O114" t="str">
        <f t="shared" si="3"/>
        <v>Low</v>
      </c>
    </row>
    <row r="115" spans="1:15" x14ac:dyDescent="0.25">
      <c r="A115" s="5" t="s">
        <v>370</v>
      </c>
      <c r="B115" s="8" t="s">
        <v>371</v>
      </c>
      <c r="C115" s="8" t="s">
        <v>41</v>
      </c>
      <c r="D115" s="8" t="s">
        <v>42</v>
      </c>
      <c r="E115" s="8">
        <v>9.1</v>
      </c>
      <c r="F115" s="8">
        <v>56.2</v>
      </c>
      <c r="G115" s="8">
        <v>52.1</v>
      </c>
      <c r="H115" s="8">
        <v>0</v>
      </c>
      <c r="I115" s="8" t="s">
        <v>372</v>
      </c>
      <c r="J115" s="8">
        <v>2027</v>
      </c>
      <c r="K115" s="8" t="s">
        <v>18</v>
      </c>
      <c r="L115" s="8" t="s">
        <v>95</v>
      </c>
      <c r="M115" s="9">
        <v>13.5</v>
      </c>
      <c r="N115">
        <f t="shared" si="2"/>
        <v>74</v>
      </c>
      <c r="O115" t="str">
        <f t="shared" si="3"/>
        <v>Very High</v>
      </c>
    </row>
    <row r="116" spans="1:15" x14ac:dyDescent="0.25">
      <c r="A116" s="5" t="s">
        <v>373</v>
      </c>
      <c r="B116" s="5" t="s">
        <v>303</v>
      </c>
      <c r="C116" s="5" t="s">
        <v>54</v>
      </c>
      <c r="D116" s="5" t="s">
        <v>46</v>
      </c>
      <c r="E116" s="5">
        <v>7.61</v>
      </c>
      <c r="F116" s="5">
        <v>83.9</v>
      </c>
      <c r="G116" s="5">
        <v>57.3</v>
      </c>
      <c r="H116" s="5">
        <v>0</v>
      </c>
      <c r="I116" s="5" t="s">
        <v>374</v>
      </c>
      <c r="J116" s="5">
        <v>2026</v>
      </c>
      <c r="K116" s="5" t="s">
        <v>34</v>
      </c>
      <c r="L116" s="5" t="s">
        <v>79</v>
      </c>
      <c r="M116" s="6"/>
      <c r="N116">
        <f t="shared" si="2"/>
        <v>257</v>
      </c>
      <c r="O116" t="str">
        <f t="shared" si="3"/>
        <v>Medium</v>
      </c>
    </row>
    <row r="117" spans="1:15" x14ac:dyDescent="0.25">
      <c r="A117" s="5" t="s">
        <v>375</v>
      </c>
      <c r="B117" s="8" t="s">
        <v>376</v>
      </c>
      <c r="C117" s="8" t="s">
        <v>41</v>
      </c>
      <c r="D117" s="8" t="s">
        <v>42</v>
      </c>
      <c r="E117" s="8">
        <v>7.08</v>
      </c>
      <c r="F117" s="8">
        <v>74.599999999999994</v>
      </c>
      <c r="G117" s="8">
        <v>62.3</v>
      </c>
      <c r="H117" s="8">
        <v>0</v>
      </c>
      <c r="I117" s="8" t="s">
        <v>377</v>
      </c>
      <c r="J117" s="8">
        <v>2027</v>
      </c>
      <c r="K117" s="8" t="s">
        <v>34</v>
      </c>
      <c r="L117" s="8" t="s">
        <v>79</v>
      </c>
      <c r="M117" s="9"/>
      <c r="N117">
        <f t="shared" si="2"/>
        <v>326</v>
      </c>
      <c r="O117" t="str">
        <f t="shared" si="3"/>
        <v>Medium</v>
      </c>
    </row>
    <row r="118" spans="1:15" x14ac:dyDescent="0.25">
      <c r="A118" s="5" t="s">
        <v>378</v>
      </c>
      <c r="B118" s="5" t="s">
        <v>379</v>
      </c>
      <c r="C118" s="5" t="s">
        <v>41</v>
      </c>
      <c r="D118" s="5" t="s">
        <v>209</v>
      </c>
      <c r="E118" s="5">
        <v>6.56</v>
      </c>
      <c r="F118" s="5">
        <v>61.7</v>
      </c>
      <c r="G118" s="5">
        <v>95.8</v>
      </c>
      <c r="H118" s="5">
        <v>0</v>
      </c>
      <c r="I118" s="5" t="s">
        <v>380</v>
      </c>
      <c r="J118" s="5">
        <v>2026</v>
      </c>
      <c r="K118" s="5" t="s">
        <v>34</v>
      </c>
      <c r="L118" s="5" t="s">
        <v>79</v>
      </c>
      <c r="M118" s="6"/>
      <c r="N118">
        <f t="shared" si="2"/>
        <v>394</v>
      </c>
      <c r="O118" t="str">
        <f t="shared" si="3"/>
        <v>Low</v>
      </c>
    </row>
    <row r="119" spans="1:15" x14ac:dyDescent="0.25">
      <c r="A119" s="5" t="s">
        <v>381</v>
      </c>
      <c r="B119" s="8" t="s">
        <v>382</v>
      </c>
      <c r="C119" s="8" t="s">
        <v>15</v>
      </c>
      <c r="D119" s="8" t="s">
        <v>16</v>
      </c>
      <c r="E119" s="8">
        <v>6.93</v>
      </c>
      <c r="F119" s="8">
        <v>80.099999999999994</v>
      </c>
      <c r="G119" s="8">
        <v>88.8</v>
      </c>
      <c r="H119" s="8">
        <v>0</v>
      </c>
      <c r="I119" s="8" t="s">
        <v>383</v>
      </c>
      <c r="J119" s="8">
        <v>2025</v>
      </c>
      <c r="K119" s="8" t="s">
        <v>18</v>
      </c>
      <c r="L119" s="8" t="s">
        <v>138</v>
      </c>
      <c r="M119" s="9">
        <v>11.4</v>
      </c>
      <c r="N119">
        <f t="shared" si="2"/>
        <v>344</v>
      </c>
      <c r="O119" t="str">
        <f t="shared" si="3"/>
        <v>Low</v>
      </c>
    </row>
    <row r="120" spans="1:15" x14ac:dyDescent="0.25">
      <c r="A120" s="5" t="s">
        <v>384</v>
      </c>
      <c r="B120" s="5" t="s">
        <v>385</v>
      </c>
      <c r="C120" s="5" t="s">
        <v>54</v>
      </c>
      <c r="D120" s="5" t="s">
        <v>42</v>
      </c>
      <c r="E120" s="5">
        <v>8.08</v>
      </c>
      <c r="F120" s="5">
        <v>63.2</v>
      </c>
      <c r="G120" s="5">
        <v>75.400000000000006</v>
      </c>
      <c r="H120" s="5">
        <v>0</v>
      </c>
      <c r="I120" s="5" t="s">
        <v>386</v>
      </c>
      <c r="J120" s="5">
        <v>2026</v>
      </c>
      <c r="K120" s="5" t="s">
        <v>34</v>
      </c>
      <c r="L120" s="5" t="s">
        <v>79</v>
      </c>
      <c r="M120" s="6"/>
      <c r="N120">
        <f t="shared" si="2"/>
        <v>195</v>
      </c>
      <c r="O120" t="str">
        <f t="shared" si="3"/>
        <v>High</v>
      </c>
    </row>
    <row r="121" spans="1:15" x14ac:dyDescent="0.25">
      <c r="A121" s="5" t="s">
        <v>387</v>
      </c>
      <c r="B121" s="8" t="s">
        <v>388</v>
      </c>
      <c r="C121" s="8" t="s">
        <v>22</v>
      </c>
      <c r="D121" s="8" t="s">
        <v>16</v>
      </c>
      <c r="E121" s="8">
        <v>8.2100000000000009</v>
      </c>
      <c r="F121" s="8">
        <v>71.900000000000006</v>
      </c>
      <c r="G121" s="8">
        <v>51.9</v>
      </c>
      <c r="H121" s="8">
        <v>0</v>
      </c>
      <c r="I121" s="8" t="s">
        <v>389</v>
      </c>
      <c r="J121" s="8">
        <v>2026</v>
      </c>
      <c r="K121" s="8" t="s">
        <v>18</v>
      </c>
      <c r="L121" s="8" t="s">
        <v>138</v>
      </c>
      <c r="M121" s="9">
        <v>13.3</v>
      </c>
      <c r="N121">
        <f t="shared" si="2"/>
        <v>179</v>
      </c>
      <c r="O121" t="str">
        <f t="shared" si="3"/>
        <v>High</v>
      </c>
    </row>
    <row r="122" spans="1:15" x14ac:dyDescent="0.25">
      <c r="A122" s="5" t="s">
        <v>390</v>
      </c>
      <c r="B122" s="5" t="s">
        <v>227</v>
      </c>
      <c r="C122" s="5" t="s">
        <v>54</v>
      </c>
      <c r="D122" s="5" t="s">
        <v>169</v>
      </c>
      <c r="E122" s="5">
        <v>8.76</v>
      </c>
      <c r="F122" s="5">
        <v>67.599999999999994</v>
      </c>
      <c r="G122" s="5">
        <v>65.5</v>
      </c>
      <c r="H122" s="5">
        <v>1</v>
      </c>
      <c r="I122" s="5" t="s">
        <v>391</v>
      </c>
      <c r="J122" s="5">
        <v>2026</v>
      </c>
      <c r="K122" s="5" t="s">
        <v>34</v>
      </c>
      <c r="L122" s="5" t="s">
        <v>79</v>
      </c>
      <c r="M122" s="6"/>
      <c r="N122">
        <f t="shared" si="2"/>
        <v>115</v>
      </c>
      <c r="O122" t="str">
        <f t="shared" si="3"/>
        <v>High</v>
      </c>
    </row>
    <row r="123" spans="1:15" x14ac:dyDescent="0.25">
      <c r="A123" s="5" t="s">
        <v>392</v>
      </c>
      <c r="B123" s="8" t="s">
        <v>393</v>
      </c>
      <c r="C123" s="8" t="s">
        <v>15</v>
      </c>
      <c r="D123" s="8" t="s">
        <v>62</v>
      </c>
      <c r="E123" s="8">
        <v>7.7</v>
      </c>
      <c r="F123" s="8">
        <v>95.6</v>
      </c>
      <c r="G123" s="8">
        <v>86</v>
      </c>
      <c r="H123" s="8">
        <v>0</v>
      </c>
      <c r="I123" s="8" t="s">
        <v>394</v>
      </c>
      <c r="J123" s="8">
        <v>2026</v>
      </c>
      <c r="K123" s="8" t="s">
        <v>34</v>
      </c>
      <c r="L123" s="8" t="s">
        <v>79</v>
      </c>
      <c r="M123" s="9"/>
      <c r="N123">
        <f t="shared" si="2"/>
        <v>245</v>
      </c>
      <c r="O123" t="str">
        <f t="shared" si="3"/>
        <v>Medium</v>
      </c>
    </row>
    <row r="124" spans="1:15" x14ac:dyDescent="0.25">
      <c r="A124" s="5" t="s">
        <v>395</v>
      </c>
      <c r="B124" s="5" t="s">
        <v>396</v>
      </c>
      <c r="C124" s="5" t="s">
        <v>15</v>
      </c>
      <c r="D124" s="5" t="s">
        <v>62</v>
      </c>
      <c r="E124" s="5">
        <v>9.59</v>
      </c>
      <c r="F124" s="5">
        <v>59.6</v>
      </c>
      <c r="G124" s="5">
        <v>50.9</v>
      </c>
      <c r="H124" s="5">
        <v>0</v>
      </c>
      <c r="I124" s="5" t="s">
        <v>397</v>
      </c>
      <c r="J124" s="5">
        <v>2026</v>
      </c>
      <c r="K124" s="5" t="s">
        <v>18</v>
      </c>
      <c r="L124" s="5" t="s">
        <v>259</v>
      </c>
      <c r="M124" s="6">
        <v>12.6</v>
      </c>
      <c r="N124">
        <f t="shared" si="2"/>
        <v>23</v>
      </c>
      <c r="O124" t="str">
        <f t="shared" si="3"/>
        <v>Very High</v>
      </c>
    </row>
    <row r="125" spans="1:15" x14ac:dyDescent="0.25">
      <c r="A125" s="5" t="s">
        <v>398</v>
      </c>
      <c r="B125" s="8" t="s">
        <v>399</v>
      </c>
      <c r="C125" s="8" t="s">
        <v>22</v>
      </c>
      <c r="D125" s="8" t="s">
        <v>23</v>
      </c>
      <c r="E125" s="8">
        <v>6.63</v>
      </c>
      <c r="F125" s="8">
        <v>68.7</v>
      </c>
      <c r="G125" s="8">
        <v>80.5</v>
      </c>
      <c r="H125" s="8">
        <v>0</v>
      </c>
      <c r="I125" s="8" t="s">
        <v>400</v>
      </c>
      <c r="J125" s="8">
        <v>2026</v>
      </c>
      <c r="K125" s="8" t="s">
        <v>30</v>
      </c>
      <c r="L125" s="8" t="s">
        <v>79</v>
      </c>
      <c r="M125" s="9"/>
      <c r="N125">
        <f t="shared" si="2"/>
        <v>383</v>
      </c>
      <c r="O125" t="str">
        <f t="shared" si="3"/>
        <v>Low</v>
      </c>
    </row>
    <row r="126" spans="1:15" x14ac:dyDescent="0.25">
      <c r="A126" s="5" t="s">
        <v>401</v>
      </c>
      <c r="B126" s="5" t="s">
        <v>402</v>
      </c>
      <c r="C126" s="5" t="s">
        <v>54</v>
      </c>
      <c r="D126" s="5" t="s">
        <v>42</v>
      </c>
      <c r="E126" s="5">
        <v>9.6300000000000008</v>
      </c>
      <c r="F126" s="5">
        <v>66.7</v>
      </c>
      <c r="G126" s="5">
        <v>63.7</v>
      </c>
      <c r="H126" s="5">
        <v>2</v>
      </c>
      <c r="I126" s="5" t="s">
        <v>403</v>
      </c>
      <c r="J126" s="5">
        <v>2026</v>
      </c>
      <c r="K126" s="5" t="s">
        <v>30</v>
      </c>
      <c r="L126" s="5" t="s">
        <v>79</v>
      </c>
      <c r="M126" s="6"/>
      <c r="N126">
        <f t="shared" si="2"/>
        <v>15</v>
      </c>
      <c r="O126" t="str">
        <f t="shared" si="3"/>
        <v>Very High</v>
      </c>
    </row>
    <row r="127" spans="1:15" x14ac:dyDescent="0.25">
      <c r="A127" s="5" t="s">
        <v>404</v>
      </c>
      <c r="B127" s="8" t="s">
        <v>405</v>
      </c>
      <c r="C127" s="8" t="s">
        <v>15</v>
      </c>
      <c r="D127" s="8" t="s">
        <v>62</v>
      </c>
      <c r="E127" s="8">
        <v>8.51</v>
      </c>
      <c r="F127" s="8">
        <v>70.900000000000006</v>
      </c>
      <c r="G127" s="8">
        <v>95.1</v>
      </c>
      <c r="H127" s="8">
        <v>1</v>
      </c>
      <c r="I127" s="8" t="s">
        <v>406</v>
      </c>
      <c r="J127" s="8">
        <v>2027</v>
      </c>
      <c r="K127" s="8" t="s">
        <v>18</v>
      </c>
      <c r="L127" s="8" t="s">
        <v>38</v>
      </c>
      <c r="M127" s="9">
        <v>8</v>
      </c>
      <c r="N127">
        <f t="shared" si="2"/>
        <v>144</v>
      </c>
      <c r="O127" t="str">
        <f t="shared" si="3"/>
        <v>High</v>
      </c>
    </row>
    <row r="128" spans="1:15" x14ac:dyDescent="0.25">
      <c r="A128" s="5" t="s">
        <v>407</v>
      </c>
      <c r="B128" s="5" t="s">
        <v>408</v>
      </c>
      <c r="C128" s="5" t="s">
        <v>22</v>
      </c>
      <c r="D128" s="5" t="s">
        <v>16</v>
      </c>
      <c r="E128" s="5">
        <v>9.11</v>
      </c>
      <c r="F128" s="5">
        <v>66.400000000000006</v>
      </c>
      <c r="G128" s="5">
        <v>75.900000000000006</v>
      </c>
      <c r="H128" s="5">
        <v>0</v>
      </c>
      <c r="I128" s="5" t="s">
        <v>409</v>
      </c>
      <c r="J128" s="5">
        <v>2026</v>
      </c>
      <c r="K128" s="5" t="s">
        <v>30</v>
      </c>
      <c r="L128" s="5" t="s">
        <v>79</v>
      </c>
      <c r="M128" s="6"/>
      <c r="N128">
        <f t="shared" si="2"/>
        <v>73</v>
      </c>
      <c r="O128" t="str">
        <f t="shared" si="3"/>
        <v>Very High</v>
      </c>
    </row>
    <row r="129" spans="1:15" x14ac:dyDescent="0.25">
      <c r="A129" s="5" t="s">
        <v>410</v>
      </c>
      <c r="B129" s="8" t="s">
        <v>411</v>
      </c>
      <c r="C129" s="8" t="s">
        <v>15</v>
      </c>
      <c r="D129" s="8" t="s">
        <v>16</v>
      </c>
      <c r="E129" s="8">
        <v>7.45</v>
      </c>
      <c r="F129" s="8">
        <v>85.1</v>
      </c>
      <c r="G129" s="8">
        <v>54.6</v>
      </c>
      <c r="H129" s="8">
        <v>0</v>
      </c>
      <c r="I129" s="8" t="s">
        <v>369</v>
      </c>
      <c r="J129" s="8">
        <v>2026</v>
      </c>
      <c r="K129" s="8" t="s">
        <v>34</v>
      </c>
      <c r="L129" s="8" t="s">
        <v>79</v>
      </c>
      <c r="M129" s="9"/>
      <c r="N129">
        <f t="shared" si="2"/>
        <v>280</v>
      </c>
      <c r="O129" t="str">
        <f t="shared" si="3"/>
        <v>Medium</v>
      </c>
    </row>
    <row r="130" spans="1:15" x14ac:dyDescent="0.25">
      <c r="A130" s="5" t="s">
        <v>412</v>
      </c>
      <c r="B130" s="5" t="s">
        <v>413</v>
      </c>
      <c r="C130" s="5" t="s">
        <v>41</v>
      </c>
      <c r="D130" s="5" t="s">
        <v>209</v>
      </c>
      <c r="E130" s="5">
        <v>6.94</v>
      </c>
      <c r="F130" s="5">
        <v>57.5</v>
      </c>
      <c r="G130" s="5">
        <v>85.4</v>
      </c>
      <c r="H130" s="5">
        <v>0</v>
      </c>
      <c r="I130" s="5" t="s">
        <v>414</v>
      </c>
      <c r="J130" s="5">
        <v>2026</v>
      </c>
      <c r="K130" s="5" t="s">
        <v>34</v>
      </c>
      <c r="L130" s="5" t="s">
        <v>79</v>
      </c>
      <c r="M130" s="6"/>
      <c r="N130">
        <f t="shared" si="2"/>
        <v>343</v>
      </c>
      <c r="O130" t="str">
        <f t="shared" si="3"/>
        <v>Low</v>
      </c>
    </row>
    <row r="131" spans="1:15" x14ac:dyDescent="0.25">
      <c r="A131" s="5" t="s">
        <v>415</v>
      </c>
      <c r="B131" s="8" t="s">
        <v>416</v>
      </c>
      <c r="C131" s="8" t="s">
        <v>54</v>
      </c>
      <c r="D131" s="8" t="s">
        <v>42</v>
      </c>
      <c r="E131" s="8">
        <v>9.5500000000000007</v>
      </c>
      <c r="F131" s="8">
        <v>95.4</v>
      </c>
      <c r="G131" s="8">
        <v>72.2</v>
      </c>
      <c r="H131" s="8">
        <v>1</v>
      </c>
      <c r="I131" s="8" t="s">
        <v>417</v>
      </c>
      <c r="J131" s="8">
        <v>2027</v>
      </c>
      <c r="K131" s="8" t="s">
        <v>18</v>
      </c>
      <c r="L131" s="8" t="s">
        <v>259</v>
      </c>
      <c r="M131" s="9">
        <v>13.9</v>
      </c>
      <c r="N131">
        <f t="shared" ref="N131:N194" si="4">RANK(E131,$E$2:$E$481,0)</f>
        <v>28</v>
      </c>
      <c r="O131" t="str">
        <f t="shared" ref="O131:O194" si="5">IF(E131&gt;=9,"Very High",IF(E131&gt;=8,"High",IF(E131&gt;=7,"Medium","Low")))</f>
        <v>Very High</v>
      </c>
    </row>
    <row r="132" spans="1:15" x14ac:dyDescent="0.25">
      <c r="A132" s="5" t="s">
        <v>418</v>
      </c>
      <c r="B132" s="5" t="s">
        <v>419</v>
      </c>
      <c r="C132" s="5" t="s">
        <v>54</v>
      </c>
      <c r="D132" s="5" t="s">
        <v>42</v>
      </c>
      <c r="E132" s="5">
        <v>9.1999999999999993</v>
      </c>
      <c r="F132" s="5">
        <v>74.7</v>
      </c>
      <c r="G132" s="5">
        <v>58.9</v>
      </c>
      <c r="H132" s="5">
        <v>0</v>
      </c>
      <c r="I132" s="5" t="s">
        <v>420</v>
      </c>
      <c r="J132" s="5">
        <v>2025</v>
      </c>
      <c r="K132" s="5" t="s">
        <v>18</v>
      </c>
      <c r="L132" s="5" t="s">
        <v>188</v>
      </c>
      <c r="M132" s="6">
        <v>9.3000000000000007</v>
      </c>
      <c r="N132">
        <f t="shared" si="4"/>
        <v>63</v>
      </c>
      <c r="O132" t="str">
        <f t="shared" si="5"/>
        <v>Very High</v>
      </c>
    </row>
    <row r="133" spans="1:15" x14ac:dyDescent="0.25">
      <c r="A133" s="5" t="s">
        <v>421</v>
      </c>
      <c r="B133" s="8" t="s">
        <v>422</v>
      </c>
      <c r="C133" s="8" t="s">
        <v>22</v>
      </c>
      <c r="D133" s="8" t="s">
        <v>23</v>
      </c>
      <c r="E133" s="8">
        <v>9.2200000000000006</v>
      </c>
      <c r="F133" s="8">
        <v>92.7</v>
      </c>
      <c r="G133" s="8">
        <v>88</v>
      </c>
      <c r="H133" s="8">
        <v>0</v>
      </c>
      <c r="I133" s="8" t="s">
        <v>29</v>
      </c>
      <c r="J133" s="8">
        <v>2026</v>
      </c>
      <c r="K133" s="8" t="s">
        <v>18</v>
      </c>
      <c r="L133" s="8" t="s">
        <v>138</v>
      </c>
      <c r="M133" s="9">
        <v>13.3</v>
      </c>
      <c r="N133">
        <f t="shared" si="4"/>
        <v>59</v>
      </c>
      <c r="O133" t="str">
        <f t="shared" si="5"/>
        <v>Very High</v>
      </c>
    </row>
    <row r="134" spans="1:15" x14ac:dyDescent="0.25">
      <c r="A134" s="5" t="s">
        <v>423</v>
      </c>
      <c r="B134" s="5" t="s">
        <v>424</v>
      </c>
      <c r="C134" s="5" t="s">
        <v>54</v>
      </c>
      <c r="D134" s="5" t="s">
        <v>42</v>
      </c>
      <c r="E134" s="5">
        <v>7.59</v>
      </c>
      <c r="F134" s="5">
        <v>66.2</v>
      </c>
      <c r="G134" s="5">
        <v>65.2</v>
      </c>
      <c r="H134" s="5">
        <v>0</v>
      </c>
      <c r="I134" s="5" t="s">
        <v>100</v>
      </c>
      <c r="J134" s="5">
        <v>2026</v>
      </c>
      <c r="K134" s="5" t="s">
        <v>18</v>
      </c>
      <c r="L134" s="5" t="s">
        <v>48</v>
      </c>
      <c r="M134" s="6">
        <v>8.1999999999999993</v>
      </c>
      <c r="N134">
        <f t="shared" si="4"/>
        <v>262</v>
      </c>
      <c r="O134" t="str">
        <f t="shared" si="5"/>
        <v>Medium</v>
      </c>
    </row>
    <row r="135" spans="1:15" x14ac:dyDescent="0.25">
      <c r="A135" s="5" t="s">
        <v>425</v>
      </c>
      <c r="B135" s="8" t="s">
        <v>245</v>
      </c>
      <c r="C135" s="8" t="s">
        <v>41</v>
      </c>
      <c r="D135" s="8" t="s">
        <v>42</v>
      </c>
      <c r="E135" s="8">
        <v>8.35</v>
      </c>
      <c r="F135" s="8">
        <v>94.5</v>
      </c>
      <c r="G135" s="8">
        <v>66.900000000000006</v>
      </c>
      <c r="H135" s="8">
        <v>0</v>
      </c>
      <c r="I135" s="8" t="s">
        <v>426</v>
      </c>
      <c r="J135" s="8">
        <v>2026</v>
      </c>
      <c r="K135" s="8" t="s">
        <v>34</v>
      </c>
      <c r="L135" s="8" t="s">
        <v>79</v>
      </c>
      <c r="M135" s="9"/>
      <c r="N135">
        <f t="shared" si="4"/>
        <v>164</v>
      </c>
      <c r="O135" t="str">
        <f t="shared" si="5"/>
        <v>High</v>
      </c>
    </row>
    <row r="136" spans="1:15" x14ac:dyDescent="0.25">
      <c r="A136" s="5" t="s">
        <v>427</v>
      </c>
      <c r="B136" s="5" t="s">
        <v>428</v>
      </c>
      <c r="C136" s="5" t="s">
        <v>54</v>
      </c>
      <c r="D136" s="5" t="s">
        <v>169</v>
      </c>
      <c r="E136" s="5">
        <v>9.01</v>
      </c>
      <c r="F136" s="5">
        <v>89.7</v>
      </c>
      <c r="G136" s="5">
        <v>85</v>
      </c>
      <c r="H136" s="5">
        <v>0</v>
      </c>
      <c r="I136" s="5" t="s">
        <v>429</v>
      </c>
      <c r="J136" s="5">
        <v>2026</v>
      </c>
      <c r="K136" s="5" t="s">
        <v>18</v>
      </c>
      <c r="L136" s="5" t="s">
        <v>38</v>
      </c>
      <c r="M136" s="6">
        <v>9.3000000000000007</v>
      </c>
      <c r="N136">
        <f t="shared" si="4"/>
        <v>85</v>
      </c>
      <c r="O136" t="str">
        <f t="shared" si="5"/>
        <v>Very High</v>
      </c>
    </row>
    <row r="137" spans="1:15" x14ac:dyDescent="0.25">
      <c r="A137" s="5" t="s">
        <v>430</v>
      </c>
      <c r="B137" s="8" t="s">
        <v>431</v>
      </c>
      <c r="C137" s="8" t="s">
        <v>22</v>
      </c>
      <c r="D137" s="8" t="s">
        <v>23</v>
      </c>
      <c r="E137" s="8">
        <v>7.95</v>
      </c>
      <c r="F137" s="8">
        <v>61.9</v>
      </c>
      <c r="G137" s="8">
        <v>89.3</v>
      </c>
      <c r="H137" s="8">
        <v>0</v>
      </c>
      <c r="I137" s="8" t="s">
        <v>432</v>
      </c>
      <c r="J137" s="8">
        <v>2027</v>
      </c>
      <c r="K137" s="8" t="s">
        <v>18</v>
      </c>
      <c r="L137" s="8" t="s">
        <v>115</v>
      </c>
      <c r="M137" s="9">
        <v>8.1</v>
      </c>
      <c r="N137">
        <f t="shared" si="4"/>
        <v>209</v>
      </c>
      <c r="O137" t="str">
        <f t="shared" si="5"/>
        <v>Medium</v>
      </c>
    </row>
    <row r="138" spans="1:15" x14ac:dyDescent="0.25">
      <c r="A138" s="5" t="s">
        <v>433</v>
      </c>
      <c r="B138" s="5" t="s">
        <v>434</v>
      </c>
      <c r="C138" s="5" t="s">
        <v>54</v>
      </c>
      <c r="D138" s="5" t="s">
        <v>169</v>
      </c>
      <c r="E138" s="5">
        <v>6.03</v>
      </c>
      <c r="F138" s="5">
        <v>74.400000000000006</v>
      </c>
      <c r="G138" s="5">
        <v>87.1</v>
      </c>
      <c r="H138" s="5">
        <v>0</v>
      </c>
      <c r="I138" s="5" t="s">
        <v>435</v>
      </c>
      <c r="J138" s="5">
        <v>2025</v>
      </c>
      <c r="K138" s="5" t="s">
        <v>34</v>
      </c>
      <c r="L138" s="5" t="s">
        <v>79</v>
      </c>
      <c r="M138" s="6"/>
      <c r="N138">
        <f t="shared" si="4"/>
        <v>452</v>
      </c>
      <c r="O138" t="str">
        <f t="shared" si="5"/>
        <v>Low</v>
      </c>
    </row>
    <row r="139" spans="1:15" x14ac:dyDescent="0.25">
      <c r="A139" s="5" t="s">
        <v>436</v>
      </c>
      <c r="B139" s="8" t="s">
        <v>437</v>
      </c>
      <c r="C139" s="8" t="s">
        <v>15</v>
      </c>
      <c r="D139" s="8" t="s">
        <v>28</v>
      </c>
      <c r="E139" s="8">
        <v>5.93</v>
      </c>
      <c r="F139" s="8">
        <v>72.2</v>
      </c>
      <c r="G139" s="8">
        <v>85.4</v>
      </c>
      <c r="H139" s="8">
        <v>0</v>
      </c>
      <c r="I139" s="8" t="s">
        <v>438</v>
      </c>
      <c r="J139" s="8">
        <v>2026</v>
      </c>
      <c r="K139" s="8" t="s">
        <v>30</v>
      </c>
      <c r="L139" s="8" t="s">
        <v>79</v>
      </c>
      <c r="M139" s="9"/>
      <c r="N139">
        <f t="shared" si="4"/>
        <v>468</v>
      </c>
      <c r="O139" t="str">
        <f t="shared" si="5"/>
        <v>Low</v>
      </c>
    </row>
    <row r="140" spans="1:15" x14ac:dyDescent="0.25">
      <c r="A140" s="5" t="s">
        <v>439</v>
      </c>
      <c r="B140" s="5" t="s">
        <v>440</v>
      </c>
      <c r="C140" s="5" t="s">
        <v>22</v>
      </c>
      <c r="D140" s="5" t="s">
        <v>23</v>
      </c>
      <c r="E140" s="5">
        <v>9.24</v>
      </c>
      <c r="F140" s="5">
        <v>60</v>
      </c>
      <c r="G140" s="5">
        <v>95.7</v>
      </c>
      <c r="H140" s="5">
        <v>0</v>
      </c>
      <c r="I140" s="5" t="s">
        <v>441</v>
      </c>
      <c r="J140" s="5">
        <v>2027</v>
      </c>
      <c r="K140" s="5" t="s">
        <v>18</v>
      </c>
      <c r="L140" s="5" t="s">
        <v>157</v>
      </c>
      <c r="M140" s="6">
        <v>9.1</v>
      </c>
      <c r="N140">
        <f t="shared" si="4"/>
        <v>54</v>
      </c>
      <c r="O140" t="str">
        <f t="shared" si="5"/>
        <v>Very High</v>
      </c>
    </row>
    <row r="141" spans="1:15" x14ac:dyDescent="0.25">
      <c r="A141" s="5" t="s">
        <v>442</v>
      </c>
      <c r="B141" s="8" t="s">
        <v>72</v>
      </c>
      <c r="C141" s="8" t="s">
        <v>22</v>
      </c>
      <c r="D141" s="8" t="s">
        <v>16</v>
      </c>
      <c r="E141" s="8">
        <v>7.64</v>
      </c>
      <c r="F141" s="8">
        <v>61.5</v>
      </c>
      <c r="G141" s="8">
        <v>58.7</v>
      </c>
      <c r="H141" s="8">
        <v>1</v>
      </c>
      <c r="I141" s="8" t="s">
        <v>73</v>
      </c>
      <c r="J141" s="8">
        <v>2026</v>
      </c>
      <c r="K141" s="8" t="s">
        <v>34</v>
      </c>
      <c r="L141" s="8" t="s">
        <v>79</v>
      </c>
      <c r="M141" s="9"/>
      <c r="N141">
        <f t="shared" si="4"/>
        <v>251</v>
      </c>
      <c r="O141" t="str">
        <f t="shared" si="5"/>
        <v>Medium</v>
      </c>
    </row>
    <row r="142" spans="1:15" x14ac:dyDescent="0.25">
      <c r="A142" s="5" t="s">
        <v>443</v>
      </c>
      <c r="B142" s="5" t="s">
        <v>444</v>
      </c>
      <c r="C142" s="5" t="s">
        <v>15</v>
      </c>
      <c r="D142" s="5" t="s">
        <v>16</v>
      </c>
      <c r="E142" s="5">
        <v>8.18</v>
      </c>
      <c r="F142" s="5">
        <v>73.8</v>
      </c>
      <c r="G142" s="5">
        <v>80.900000000000006</v>
      </c>
      <c r="H142" s="5">
        <v>1</v>
      </c>
      <c r="I142" s="5" t="s">
        <v>445</v>
      </c>
      <c r="J142" s="5">
        <v>2026</v>
      </c>
      <c r="K142" s="5" t="s">
        <v>18</v>
      </c>
      <c r="L142" s="5" t="s">
        <v>108</v>
      </c>
      <c r="M142" s="6">
        <v>11.6</v>
      </c>
      <c r="N142">
        <f t="shared" si="4"/>
        <v>184</v>
      </c>
      <c r="O142" t="str">
        <f t="shared" si="5"/>
        <v>High</v>
      </c>
    </row>
    <row r="143" spans="1:15" x14ac:dyDescent="0.25">
      <c r="A143" s="5" t="s">
        <v>446</v>
      </c>
      <c r="B143" s="8" t="s">
        <v>447</v>
      </c>
      <c r="C143" s="8" t="s">
        <v>41</v>
      </c>
      <c r="D143" s="8" t="s">
        <v>46</v>
      </c>
      <c r="E143" s="8">
        <v>9.06</v>
      </c>
      <c r="F143" s="8">
        <v>85.7</v>
      </c>
      <c r="G143" s="8">
        <v>64.7</v>
      </c>
      <c r="H143" s="8">
        <v>0</v>
      </c>
      <c r="I143" s="8" t="s">
        <v>448</v>
      </c>
      <c r="J143" s="8">
        <v>2026</v>
      </c>
      <c r="K143" s="8" t="s">
        <v>18</v>
      </c>
      <c r="L143" s="8" t="s">
        <v>188</v>
      </c>
      <c r="M143" s="9">
        <v>3.9</v>
      </c>
      <c r="N143">
        <f t="shared" si="4"/>
        <v>79</v>
      </c>
      <c r="O143" t="str">
        <f t="shared" si="5"/>
        <v>Very High</v>
      </c>
    </row>
    <row r="144" spans="1:15" x14ac:dyDescent="0.25">
      <c r="A144" s="5" t="s">
        <v>449</v>
      </c>
      <c r="B144" s="5" t="s">
        <v>408</v>
      </c>
      <c r="C144" s="5" t="s">
        <v>54</v>
      </c>
      <c r="D144" s="5" t="s">
        <v>169</v>
      </c>
      <c r="E144" s="5">
        <v>7.78</v>
      </c>
      <c r="F144" s="5">
        <v>95.8</v>
      </c>
      <c r="G144" s="5">
        <v>93.3</v>
      </c>
      <c r="H144" s="5">
        <v>0</v>
      </c>
      <c r="I144" s="5" t="s">
        <v>450</v>
      </c>
      <c r="J144" s="5">
        <v>2026</v>
      </c>
      <c r="K144" s="5" t="s">
        <v>34</v>
      </c>
      <c r="L144" s="5" t="s">
        <v>79</v>
      </c>
      <c r="M144" s="6"/>
      <c r="N144">
        <f t="shared" si="4"/>
        <v>230</v>
      </c>
      <c r="O144" t="str">
        <f t="shared" si="5"/>
        <v>Medium</v>
      </c>
    </row>
    <row r="145" spans="1:15" x14ac:dyDescent="0.25">
      <c r="A145" s="5" t="s">
        <v>451</v>
      </c>
      <c r="B145" s="8" t="s">
        <v>452</v>
      </c>
      <c r="C145" s="8" t="s">
        <v>41</v>
      </c>
      <c r="D145" s="8" t="s">
        <v>46</v>
      </c>
      <c r="E145" s="8">
        <v>9.02</v>
      </c>
      <c r="F145" s="8">
        <v>93.4</v>
      </c>
      <c r="G145" s="8">
        <v>75.900000000000006</v>
      </c>
      <c r="H145" s="8">
        <v>2</v>
      </c>
      <c r="I145" s="8" t="s">
        <v>453</v>
      </c>
      <c r="J145" s="8">
        <v>2026</v>
      </c>
      <c r="K145" s="8" t="s">
        <v>34</v>
      </c>
      <c r="L145" s="8" t="s">
        <v>79</v>
      </c>
      <c r="M145" s="9"/>
      <c r="N145">
        <f t="shared" si="4"/>
        <v>83</v>
      </c>
      <c r="O145" t="str">
        <f t="shared" si="5"/>
        <v>Very High</v>
      </c>
    </row>
    <row r="146" spans="1:15" x14ac:dyDescent="0.25">
      <c r="A146" s="5" t="s">
        <v>454</v>
      </c>
      <c r="B146" s="5" t="s">
        <v>455</v>
      </c>
      <c r="C146" s="5" t="s">
        <v>15</v>
      </c>
      <c r="D146" s="5" t="s">
        <v>62</v>
      </c>
      <c r="E146" s="5">
        <v>8.6999999999999993</v>
      </c>
      <c r="F146" s="5">
        <v>63</v>
      </c>
      <c r="G146" s="5">
        <v>62.3</v>
      </c>
      <c r="H146" s="5">
        <v>0</v>
      </c>
      <c r="I146" s="5" t="s">
        <v>456</v>
      </c>
      <c r="J146" s="5">
        <v>2026</v>
      </c>
      <c r="K146" s="5" t="s">
        <v>30</v>
      </c>
      <c r="L146" s="5" t="s">
        <v>79</v>
      </c>
      <c r="M146" s="6"/>
      <c r="N146">
        <f t="shared" si="4"/>
        <v>123</v>
      </c>
      <c r="O146" t="str">
        <f t="shared" si="5"/>
        <v>High</v>
      </c>
    </row>
    <row r="147" spans="1:15" x14ac:dyDescent="0.25">
      <c r="A147" s="5" t="s">
        <v>457</v>
      </c>
      <c r="B147" s="8" t="s">
        <v>458</v>
      </c>
      <c r="C147" s="8" t="s">
        <v>54</v>
      </c>
      <c r="D147" s="8" t="s">
        <v>42</v>
      </c>
      <c r="E147" s="8">
        <v>9.2799999999999994</v>
      </c>
      <c r="F147" s="8">
        <v>69</v>
      </c>
      <c r="G147" s="8">
        <v>94</v>
      </c>
      <c r="H147" s="8">
        <v>0</v>
      </c>
      <c r="I147" s="8" t="s">
        <v>459</v>
      </c>
      <c r="J147" s="8">
        <v>2026</v>
      </c>
      <c r="K147" s="8" t="s">
        <v>34</v>
      </c>
      <c r="L147" s="8" t="s">
        <v>79</v>
      </c>
      <c r="M147" s="9"/>
      <c r="N147">
        <f t="shared" si="4"/>
        <v>48</v>
      </c>
      <c r="O147" t="str">
        <f t="shared" si="5"/>
        <v>Very High</v>
      </c>
    </row>
    <row r="148" spans="1:15" x14ac:dyDescent="0.25">
      <c r="A148" s="5" t="s">
        <v>460</v>
      </c>
      <c r="B148" s="5" t="s">
        <v>461</v>
      </c>
      <c r="C148" s="5" t="s">
        <v>41</v>
      </c>
      <c r="D148" s="5" t="s">
        <v>209</v>
      </c>
      <c r="E148" s="5">
        <v>7.32</v>
      </c>
      <c r="F148" s="5">
        <v>77.400000000000006</v>
      </c>
      <c r="G148" s="5">
        <v>66.5</v>
      </c>
      <c r="H148" s="5">
        <v>0</v>
      </c>
      <c r="I148" s="5" t="s">
        <v>462</v>
      </c>
      <c r="J148" s="5">
        <v>2027</v>
      </c>
      <c r="K148" s="5" t="s">
        <v>18</v>
      </c>
      <c r="L148" s="5" t="s">
        <v>70</v>
      </c>
      <c r="M148" s="6">
        <v>3.7</v>
      </c>
      <c r="N148">
        <f t="shared" si="4"/>
        <v>300</v>
      </c>
      <c r="O148" t="str">
        <f t="shared" si="5"/>
        <v>Medium</v>
      </c>
    </row>
    <row r="149" spans="1:15" x14ac:dyDescent="0.25">
      <c r="A149" s="5" t="s">
        <v>463</v>
      </c>
      <c r="B149" s="8" t="s">
        <v>464</v>
      </c>
      <c r="C149" s="8" t="s">
        <v>22</v>
      </c>
      <c r="D149" s="8" t="s">
        <v>16</v>
      </c>
      <c r="E149" s="8">
        <v>6.84</v>
      </c>
      <c r="F149" s="8">
        <v>94.3</v>
      </c>
      <c r="G149" s="8">
        <v>76.599999999999994</v>
      </c>
      <c r="H149" s="8">
        <v>0</v>
      </c>
      <c r="I149" s="8" t="s">
        <v>465</v>
      </c>
      <c r="J149" s="8">
        <v>2026</v>
      </c>
      <c r="K149" s="8" t="s">
        <v>34</v>
      </c>
      <c r="L149" s="8" t="s">
        <v>79</v>
      </c>
      <c r="M149" s="9"/>
      <c r="N149">
        <f t="shared" si="4"/>
        <v>355</v>
      </c>
      <c r="O149" t="str">
        <f t="shared" si="5"/>
        <v>Low</v>
      </c>
    </row>
    <row r="150" spans="1:15" x14ac:dyDescent="0.25">
      <c r="A150" s="5" t="s">
        <v>466</v>
      </c>
      <c r="B150" s="5" t="s">
        <v>467</v>
      </c>
      <c r="C150" s="5" t="s">
        <v>41</v>
      </c>
      <c r="D150" s="5" t="s">
        <v>28</v>
      </c>
      <c r="E150" s="5">
        <v>9.67</v>
      </c>
      <c r="F150" s="5">
        <v>82</v>
      </c>
      <c r="G150" s="5">
        <v>72.599999999999994</v>
      </c>
      <c r="H150" s="5">
        <v>0</v>
      </c>
      <c r="I150" s="5" t="s">
        <v>468</v>
      </c>
      <c r="J150" s="5">
        <v>2027</v>
      </c>
      <c r="K150" s="5" t="s">
        <v>18</v>
      </c>
      <c r="L150" s="5" t="s">
        <v>95</v>
      </c>
      <c r="M150" s="6">
        <v>13.5</v>
      </c>
      <c r="N150">
        <f t="shared" si="4"/>
        <v>13</v>
      </c>
      <c r="O150" t="str">
        <f t="shared" si="5"/>
        <v>Very High</v>
      </c>
    </row>
    <row r="151" spans="1:15" x14ac:dyDescent="0.25">
      <c r="A151" s="5" t="s">
        <v>469</v>
      </c>
      <c r="B151" s="8" t="s">
        <v>180</v>
      </c>
      <c r="C151" s="8" t="s">
        <v>15</v>
      </c>
      <c r="D151" s="8" t="s">
        <v>62</v>
      </c>
      <c r="E151" s="8">
        <v>5.99</v>
      </c>
      <c r="F151" s="8">
        <v>55.3</v>
      </c>
      <c r="G151" s="8">
        <v>56.3</v>
      </c>
      <c r="H151" s="8">
        <v>0</v>
      </c>
      <c r="I151" s="8" t="s">
        <v>470</v>
      </c>
      <c r="J151" s="8">
        <v>2026</v>
      </c>
      <c r="K151" s="8" t="s">
        <v>34</v>
      </c>
      <c r="L151" s="8" t="s">
        <v>79</v>
      </c>
      <c r="M151" s="9"/>
      <c r="N151">
        <f t="shared" si="4"/>
        <v>460</v>
      </c>
      <c r="O151" t="str">
        <f t="shared" si="5"/>
        <v>Low</v>
      </c>
    </row>
    <row r="152" spans="1:15" x14ac:dyDescent="0.25">
      <c r="A152" s="5" t="s">
        <v>471</v>
      </c>
      <c r="B152" s="5" t="s">
        <v>218</v>
      </c>
      <c r="C152" s="5" t="s">
        <v>54</v>
      </c>
      <c r="D152" s="5" t="s">
        <v>169</v>
      </c>
      <c r="E152" s="5">
        <v>7.75</v>
      </c>
      <c r="F152" s="5">
        <v>55.3</v>
      </c>
      <c r="G152" s="5">
        <v>75.400000000000006</v>
      </c>
      <c r="H152" s="5">
        <v>0</v>
      </c>
      <c r="I152" s="5" t="s">
        <v>472</v>
      </c>
      <c r="J152" s="5">
        <v>2026</v>
      </c>
      <c r="K152" s="5" t="s">
        <v>34</v>
      </c>
      <c r="L152" s="5" t="s">
        <v>79</v>
      </c>
      <c r="M152" s="6"/>
      <c r="N152">
        <f t="shared" si="4"/>
        <v>241</v>
      </c>
      <c r="O152" t="str">
        <f t="shared" si="5"/>
        <v>Medium</v>
      </c>
    </row>
    <row r="153" spans="1:15" x14ac:dyDescent="0.25">
      <c r="A153" s="5" t="s">
        <v>473</v>
      </c>
      <c r="B153" s="8" t="s">
        <v>327</v>
      </c>
      <c r="C153" s="8" t="s">
        <v>22</v>
      </c>
      <c r="D153" s="8" t="s">
        <v>474</v>
      </c>
      <c r="E153" s="8">
        <v>6.57</v>
      </c>
      <c r="F153" s="8">
        <v>77.099999999999994</v>
      </c>
      <c r="G153" s="8">
        <v>87.5</v>
      </c>
      <c r="H153" s="8">
        <v>0</v>
      </c>
      <c r="I153" s="8" t="s">
        <v>475</v>
      </c>
      <c r="J153" s="8">
        <v>2026</v>
      </c>
      <c r="K153" s="8" t="s">
        <v>34</v>
      </c>
      <c r="L153" s="8" t="s">
        <v>79</v>
      </c>
      <c r="M153" s="9"/>
      <c r="N153">
        <f t="shared" si="4"/>
        <v>392</v>
      </c>
      <c r="O153" t="str">
        <f t="shared" si="5"/>
        <v>Low</v>
      </c>
    </row>
    <row r="154" spans="1:15" x14ac:dyDescent="0.25">
      <c r="A154" s="5" t="s">
        <v>476</v>
      </c>
      <c r="B154" s="5" t="s">
        <v>477</v>
      </c>
      <c r="C154" s="5" t="s">
        <v>15</v>
      </c>
      <c r="D154" s="5" t="s">
        <v>16</v>
      </c>
      <c r="E154" s="5">
        <v>7.42</v>
      </c>
      <c r="F154" s="5">
        <v>70.8</v>
      </c>
      <c r="G154" s="5">
        <v>71.900000000000006</v>
      </c>
      <c r="H154" s="5">
        <v>0</v>
      </c>
      <c r="I154" s="5" t="s">
        <v>478</v>
      </c>
      <c r="J154" s="5">
        <v>2026</v>
      </c>
      <c r="K154" s="5" t="s">
        <v>18</v>
      </c>
      <c r="L154" s="5" t="s">
        <v>108</v>
      </c>
      <c r="M154" s="6">
        <v>13.7</v>
      </c>
      <c r="N154">
        <f t="shared" si="4"/>
        <v>289</v>
      </c>
      <c r="O154" t="str">
        <f t="shared" si="5"/>
        <v>Medium</v>
      </c>
    </row>
    <row r="155" spans="1:15" x14ac:dyDescent="0.25">
      <c r="A155" s="5" t="s">
        <v>479</v>
      </c>
      <c r="B155" s="8" t="s">
        <v>480</v>
      </c>
      <c r="C155" s="8" t="s">
        <v>15</v>
      </c>
      <c r="D155" s="8" t="s">
        <v>16</v>
      </c>
      <c r="E155" s="8">
        <v>6.65</v>
      </c>
      <c r="F155" s="8">
        <v>91.5</v>
      </c>
      <c r="G155" s="8">
        <v>90.8</v>
      </c>
      <c r="H155" s="8">
        <v>0</v>
      </c>
      <c r="I155" s="8" t="s">
        <v>170</v>
      </c>
      <c r="J155" s="8">
        <v>2027</v>
      </c>
      <c r="K155" s="8" t="s">
        <v>34</v>
      </c>
      <c r="L155" s="8" t="s">
        <v>79</v>
      </c>
      <c r="M155" s="9"/>
      <c r="N155">
        <f t="shared" si="4"/>
        <v>381</v>
      </c>
      <c r="O155" t="str">
        <f t="shared" si="5"/>
        <v>Low</v>
      </c>
    </row>
    <row r="156" spans="1:15" x14ac:dyDescent="0.25">
      <c r="A156" s="5" t="s">
        <v>481</v>
      </c>
      <c r="B156" s="5" t="s">
        <v>482</v>
      </c>
      <c r="C156" s="5" t="s">
        <v>15</v>
      </c>
      <c r="D156" s="5" t="s">
        <v>16</v>
      </c>
      <c r="E156" s="5">
        <v>8.15</v>
      </c>
      <c r="F156" s="5">
        <v>86.6</v>
      </c>
      <c r="G156" s="5">
        <v>82.8</v>
      </c>
      <c r="H156" s="5">
        <v>0</v>
      </c>
      <c r="I156" s="5" t="s">
        <v>255</v>
      </c>
      <c r="J156" s="5">
        <v>2026</v>
      </c>
      <c r="K156" s="5" t="s">
        <v>34</v>
      </c>
      <c r="L156" s="5" t="s">
        <v>79</v>
      </c>
      <c r="M156" s="6"/>
      <c r="N156">
        <f t="shared" si="4"/>
        <v>187</v>
      </c>
      <c r="O156" t="str">
        <f t="shared" si="5"/>
        <v>High</v>
      </c>
    </row>
    <row r="157" spans="1:15" x14ac:dyDescent="0.25">
      <c r="A157" s="5" t="s">
        <v>483</v>
      </c>
      <c r="B157" s="8" t="s">
        <v>484</v>
      </c>
      <c r="C157" s="8" t="s">
        <v>41</v>
      </c>
      <c r="D157" s="8" t="s">
        <v>28</v>
      </c>
      <c r="E157" s="8">
        <v>8.82</v>
      </c>
      <c r="F157" s="8">
        <v>60.9</v>
      </c>
      <c r="G157" s="8">
        <v>95.5</v>
      </c>
      <c r="H157" s="8">
        <v>0</v>
      </c>
      <c r="I157" s="8" t="s">
        <v>485</v>
      </c>
      <c r="J157" s="8">
        <v>2026</v>
      </c>
      <c r="K157" s="8" t="s">
        <v>18</v>
      </c>
      <c r="L157" s="8" t="s">
        <v>25</v>
      </c>
      <c r="M157" s="9">
        <v>9.8000000000000007</v>
      </c>
      <c r="N157">
        <f t="shared" si="4"/>
        <v>104</v>
      </c>
      <c r="O157" t="str">
        <f t="shared" si="5"/>
        <v>High</v>
      </c>
    </row>
    <row r="158" spans="1:15" x14ac:dyDescent="0.25">
      <c r="A158" s="5" t="s">
        <v>486</v>
      </c>
      <c r="B158" s="5" t="s">
        <v>283</v>
      </c>
      <c r="C158" s="5" t="s">
        <v>41</v>
      </c>
      <c r="D158" s="5" t="s">
        <v>42</v>
      </c>
      <c r="E158" s="5">
        <v>8.34</v>
      </c>
      <c r="F158" s="5">
        <v>87.9</v>
      </c>
      <c r="G158" s="5">
        <v>70.7</v>
      </c>
      <c r="H158" s="5">
        <v>0</v>
      </c>
      <c r="I158" s="5" t="s">
        <v>487</v>
      </c>
      <c r="J158" s="5">
        <v>2026</v>
      </c>
      <c r="K158" s="5" t="s">
        <v>18</v>
      </c>
      <c r="L158" s="5" t="s">
        <v>48</v>
      </c>
      <c r="M158" s="6">
        <v>4.0999999999999996</v>
      </c>
      <c r="N158">
        <f t="shared" si="4"/>
        <v>165</v>
      </c>
      <c r="O158" t="str">
        <f t="shared" si="5"/>
        <v>High</v>
      </c>
    </row>
    <row r="159" spans="1:15" x14ac:dyDescent="0.25">
      <c r="A159" s="5" t="s">
        <v>488</v>
      </c>
      <c r="B159" s="8" t="s">
        <v>431</v>
      </c>
      <c r="C159" s="8" t="s">
        <v>22</v>
      </c>
      <c r="D159" s="8" t="s">
        <v>23</v>
      </c>
      <c r="E159" s="8">
        <v>7.36</v>
      </c>
      <c r="F159" s="8">
        <v>70.099999999999994</v>
      </c>
      <c r="G159" s="8">
        <v>54.2</v>
      </c>
      <c r="H159" s="8">
        <v>2</v>
      </c>
      <c r="I159" s="8" t="s">
        <v>489</v>
      </c>
      <c r="J159" s="8">
        <v>2026</v>
      </c>
      <c r="K159" s="8" t="s">
        <v>30</v>
      </c>
      <c r="L159" s="8" t="s">
        <v>79</v>
      </c>
      <c r="M159" s="9"/>
      <c r="N159">
        <f t="shared" si="4"/>
        <v>293</v>
      </c>
      <c r="O159" t="str">
        <f t="shared" si="5"/>
        <v>Medium</v>
      </c>
    </row>
    <row r="160" spans="1:15" x14ac:dyDescent="0.25">
      <c r="A160" s="5" t="s">
        <v>490</v>
      </c>
      <c r="B160" s="5" t="s">
        <v>491</v>
      </c>
      <c r="C160" s="5" t="s">
        <v>15</v>
      </c>
      <c r="D160" s="5" t="s">
        <v>16</v>
      </c>
      <c r="E160" s="5">
        <v>6.16</v>
      </c>
      <c r="F160" s="5">
        <v>78.3</v>
      </c>
      <c r="G160" s="5">
        <v>77.5</v>
      </c>
      <c r="H160" s="5">
        <v>1</v>
      </c>
      <c r="I160" s="5" t="s">
        <v>492</v>
      </c>
      <c r="J160" s="5">
        <v>2026</v>
      </c>
      <c r="K160" s="5" t="s">
        <v>34</v>
      </c>
      <c r="L160" s="5" t="s">
        <v>79</v>
      </c>
      <c r="M160" s="6"/>
      <c r="N160">
        <f t="shared" si="4"/>
        <v>436</v>
      </c>
      <c r="O160" t="str">
        <f t="shared" si="5"/>
        <v>Low</v>
      </c>
    </row>
    <row r="161" spans="1:15" x14ac:dyDescent="0.25">
      <c r="A161" s="5" t="s">
        <v>493</v>
      </c>
      <c r="B161" s="8" t="s">
        <v>350</v>
      </c>
      <c r="C161" s="8" t="s">
        <v>22</v>
      </c>
      <c r="D161" s="8" t="s">
        <v>23</v>
      </c>
      <c r="E161" s="8">
        <v>7.32</v>
      </c>
      <c r="F161" s="8">
        <v>60.8</v>
      </c>
      <c r="G161" s="8">
        <v>63.9</v>
      </c>
      <c r="H161" s="8">
        <v>0</v>
      </c>
      <c r="I161" s="8" t="s">
        <v>24</v>
      </c>
      <c r="J161" s="8">
        <v>2026</v>
      </c>
      <c r="K161" s="8" t="s">
        <v>18</v>
      </c>
      <c r="L161" s="8" t="s">
        <v>25</v>
      </c>
      <c r="M161" s="9">
        <v>4</v>
      </c>
      <c r="N161">
        <f t="shared" si="4"/>
        <v>300</v>
      </c>
      <c r="O161" t="str">
        <f t="shared" si="5"/>
        <v>Medium</v>
      </c>
    </row>
    <row r="162" spans="1:15" x14ac:dyDescent="0.25">
      <c r="A162" s="5" t="s">
        <v>494</v>
      </c>
      <c r="B162" s="5" t="s">
        <v>495</v>
      </c>
      <c r="C162" s="5" t="s">
        <v>54</v>
      </c>
      <c r="D162" s="5" t="s">
        <v>169</v>
      </c>
      <c r="E162" s="5">
        <v>8.27</v>
      </c>
      <c r="F162" s="5">
        <v>74.2</v>
      </c>
      <c r="G162" s="5">
        <v>56.2</v>
      </c>
      <c r="H162" s="5">
        <v>0</v>
      </c>
      <c r="I162" s="5" t="s">
        <v>496</v>
      </c>
      <c r="J162" s="5">
        <v>2026</v>
      </c>
      <c r="K162" s="5" t="s">
        <v>30</v>
      </c>
      <c r="L162" s="5" t="s">
        <v>79</v>
      </c>
      <c r="M162" s="6"/>
      <c r="N162">
        <f t="shared" si="4"/>
        <v>172</v>
      </c>
      <c r="O162" t="str">
        <f t="shared" si="5"/>
        <v>High</v>
      </c>
    </row>
    <row r="163" spans="1:15" x14ac:dyDescent="0.25">
      <c r="A163" s="5" t="s">
        <v>497</v>
      </c>
      <c r="B163" s="8" t="s">
        <v>498</v>
      </c>
      <c r="C163" s="8" t="s">
        <v>41</v>
      </c>
      <c r="D163" s="8" t="s">
        <v>209</v>
      </c>
      <c r="E163" s="8">
        <v>8.2100000000000009</v>
      </c>
      <c r="F163" s="8">
        <v>84.2</v>
      </c>
      <c r="G163" s="8">
        <v>72</v>
      </c>
      <c r="H163" s="8">
        <v>0</v>
      </c>
      <c r="I163" s="8" t="s">
        <v>499</v>
      </c>
      <c r="J163" s="8">
        <v>2026</v>
      </c>
      <c r="K163" s="8" t="s">
        <v>18</v>
      </c>
      <c r="L163" s="8" t="s">
        <v>25</v>
      </c>
      <c r="M163" s="9">
        <v>7.4</v>
      </c>
      <c r="N163">
        <f t="shared" si="4"/>
        <v>179</v>
      </c>
      <c r="O163" t="str">
        <f t="shared" si="5"/>
        <v>High</v>
      </c>
    </row>
    <row r="164" spans="1:15" x14ac:dyDescent="0.25">
      <c r="A164" s="5" t="s">
        <v>500</v>
      </c>
      <c r="B164" s="5" t="s">
        <v>501</v>
      </c>
      <c r="C164" s="5" t="s">
        <v>22</v>
      </c>
      <c r="D164" s="5" t="s">
        <v>23</v>
      </c>
      <c r="E164" s="5">
        <v>9.7899999999999991</v>
      </c>
      <c r="F164" s="5">
        <v>62.6</v>
      </c>
      <c r="G164" s="5">
        <v>85.3</v>
      </c>
      <c r="H164" s="5">
        <v>0</v>
      </c>
      <c r="I164" s="5" t="s">
        <v>502</v>
      </c>
      <c r="J164" s="5">
        <v>2025</v>
      </c>
      <c r="K164" s="5" t="s">
        <v>34</v>
      </c>
      <c r="L164" s="5" t="s">
        <v>79</v>
      </c>
      <c r="M164" s="6"/>
      <c r="N164">
        <f t="shared" si="4"/>
        <v>3</v>
      </c>
      <c r="O164" t="str">
        <f t="shared" si="5"/>
        <v>Very High</v>
      </c>
    </row>
    <row r="165" spans="1:15" x14ac:dyDescent="0.25">
      <c r="A165" s="5" t="s">
        <v>503</v>
      </c>
      <c r="B165" s="8" t="s">
        <v>504</v>
      </c>
      <c r="C165" s="8" t="s">
        <v>22</v>
      </c>
      <c r="D165" s="8" t="s">
        <v>23</v>
      </c>
      <c r="E165" s="8">
        <v>7.01</v>
      </c>
      <c r="F165" s="8">
        <v>65.599999999999994</v>
      </c>
      <c r="G165" s="8">
        <v>57.1</v>
      </c>
      <c r="H165" s="8">
        <v>0</v>
      </c>
      <c r="I165" s="8" t="s">
        <v>505</v>
      </c>
      <c r="J165" s="8">
        <v>2026</v>
      </c>
      <c r="K165" s="8" t="s">
        <v>30</v>
      </c>
      <c r="L165" s="8" t="s">
        <v>79</v>
      </c>
      <c r="M165" s="9"/>
      <c r="N165">
        <f t="shared" si="4"/>
        <v>337</v>
      </c>
      <c r="O165" t="str">
        <f t="shared" si="5"/>
        <v>Medium</v>
      </c>
    </row>
    <row r="166" spans="1:15" x14ac:dyDescent="0.25">
      <c r="A166" s="5" t="s">
        <v>506</v>
      </c>
      <c r="B166" s="5" t="s">
        <v>507</v>
      </c>
      <c r="C166" s="5" t="s">
        <v>15</v>
      </c>
      <c r="D166" s="5" t="s">
        <v>28</v>
      </c>
      <c r="E166" s="5">
        <v>8.61</v>
      </c>
      <c r="F166" s="5">
        <v>89.1</v>
      </c>
      <c r="G166" s="5">
        <v>77.3</v>
      </c>
      <c r="H166" s="5">
        <v>1</v>
      </c>
      <c r="I166" s="5" t="s">
        <v>508</v>
      </c>
      <c r="J166" s="5">
        <v>2026</v>
      </c>
      <c r="K166" s="5" t="s">
        <v>30</v>
      </c>
      <c r="L166" s="5" t="s">
        <v>79</v>
      </c>
      <c r="M166" s="6"/>
      <c r="N166">
        <f t="shared" si="4"/>
        <v>134</v>
      </c>
      <c r="O166" t="str">
        <f t="shared" si="5"/>
        <v>High</v>
      </c>
    </row>
    <row r="167" spans="1:15" x14ac:dyDescent="0.25">
      <c r="A167" s="5" t="s">
        <v>509</v>
      </c>
      <c r="B167" s="8" t="s">
        <v>510</v>
      </c>
      <c r="C167" s="8" t="s">
        <v>41</v>
      </c>
      <c r="D167" s="8" t="s">
        <v>28</v>
      </c>
      <c r="E167" s="8">
        <v>6.22</v>
      </c>
      <c r="F167" s="8">
        <v>59.1</v>
      </c>
      <c r="G167" s="8">
        <v>60.2</v>
      </c>
      <c r="H167" s="8">
        <v>0</v>
      </c>
      <c r="I167" s="8" t="s">
        <v>511</v>
      </c>
      <c r="J167" s="8">
        <v>2026</v>
      </c>
      <c r="K167" s="8" t="s">
        <v>30</v>
      </c>
      <c r="L167" s="8" t="s">
        <v>79</v>
      </c>
      <c r="M167" s="9"/>
      <c r="N167">
        <f t="shared" si="4"/>
        <v>432</v>
      </c>
      <c r="O167" t="str">
        <f t="shared" si="5"/>
        <v>Low</v>
      </c>
    </row>
    <row r="168" spans="1:15" x14ac:dyDescent="0.25">
      <c r="A168" s="5" t="s">
        <v>512</v>
      </c>
      <c r="B168" s="5" t="s">
        <v>513</v>
      </c>
      <c r="C168" s="5" t="s">
        <v>41</v>
      </c>
      <c r="D168" s="5" t="s">
        <v>42</v>
      </c>
      <c r="E168" s="5">
        <v>7.73</v>
      </c>
      <c r="F168" s="5">
        <v>67.400000000000006</v>
      </c>
      <c r="G168" s="5">
        <v>92.3</v>
      </c>
      <c r="H168" s="5">
        <v>0</v>
      </c>
      <c r="I168" s="5" t="s">
        <v>514</v>
      </c>
      <c r="J168" s="5">
        <v>2026</v>
      </c>
      <c r="K168" s="5" t="s">
        <v>18</v>
      </c>
      <c r="L168" s="5" t="s">
        <v>259</v>
      </c>
      <c r="M168" s="6">
        <v>7</v>
      </c>
      <c r="N168">
        <f t="shared" si="4"/>
        <v>244</v>
      </c>
      <c r="O168" t="str">
        <f t="shared" si="5"/>
        <v>Medium</v>
      </c>
    </row>
    <row r="169" spans="1:15" x14ac:dyDescent="0.25">
      <c r="A169" s="5" t="s">
        <v>515</v>
      </c>
      <c r="B169" s="8" t="s">
        <v>516</v>
      </c>
      <c r="C169" s="8" t="s">
        <v>54</v>
      </c>
      <c r="D169" s="8" t="s">
        <v>46</v>
      </c>
      <c r="E169" s="8">
        <v>6.07</v>
      </c>
      <c r="F169" s="8">
        <v>56.9</v>
      </c>
      <c r="G169" s="8">
        <v>82.7</v>
      </c>
      <c r="H169" s="8">
        <v>0</v>
      </c>
      <c r="I169" s="8" t="s">
        <v>517</v>
      </c>
      <c r="J169" s="8">
        <v>2026</v>
      </c>
      <c r="K169" s="8" t="s">
        <v>18</v>
      </c>
      <c r="L169" s="8" t="s">
        <v>518</v>
      </c>
      <c r="M169" s="9">
        <v>7.8</v>
      </c>
      <c r="N169">
        <f t="shared" si="4"/>
        <v>447</v>
      </c>
      <c r="O169" t="str">
        <f t="shared" si="5"/>
        <v>Low</v>
      </c>
    </row>
    <row r="170" spans="1:15" x14ac:dyDescent="0.25">
      <c r="A170" s="5" t="s">
        <v>519</v>
      </c>
      <c r="B170" s="5" t="s">
        <v>520</v>
      </c>
      <c r="C170" s="5" t="s">
        <v>54</v>
      </c>
      <c r="D170" s="5" t="s">
        <v>169</v>
      </c>
      <c r="E170" s="5">
        <v>6.54</v>
      </c>
      <c r="F170" s="5">
        <v>81.900000000000006</v>
      </c>
      <c r="G170" s="5">
        <v>69.900000000000006</v>
      </c>
      <c r="H170" s="5">
        <v>0</v>
      </c>
      <c r="I170" s="5" t="s">
        <v>521</v>
      </c>
      <c r="J170" s="5">
        <v>2025</v>
      </c>
      <c r="K170" s="5" t="s">
        <v>18</v>
      </c>
      <c r="L170" s="5" t="s">
        <v>188</v>
      </c>
      <c r="M170" s="6">
        <v>11.3</v>
      </c>
      <c r="N170">
        <f t="shared" si="4"/>
        <v>400</v>
      </c>
      <c r="O170" t="str">
        <f t="shared" si="5"/>
        <v>Low</v>
      </c>
    </row>
    <row r="171" spans="1:15" x14ac:dyDescent="0.25">
      <c r="A171" s="5" t="s">
        <v>522</v>
      </c>
      <c r="B171" s="8" t="s">
        <v>523</v>
      </c>
      <c r="C171" s="8" t="s">
        <v>15</v>
      </c>
      <c r="D171" s="8" t="s">
        <v>62</v>
      </c>
      <c r="E171" s="8">
        <v>6.55</v>
      </c>
      <c r="F171" s="8">
        <v>68.7</v>
      </c>
      <c r="G171" s="8">
        <v>71</v>
      </c>
      <c r="H171" s="8">
        <v>0</v>
      </c>
      <c r="I171" s="8" t="s">
        <v>524</v>
      </c>
      <c r="J171" s="8">
        <v>2026</v>
      </c>
      <c r="K171" s="8" t="s">
        <v>18</v>
      </c>
      <c r="L171" s="8" t="s">
        <v>108</v>
      </c>
      <c r="M171" s="9">
        <v>8.1</v>
      </c>
      <c r="N171">
        <f t="shared" si="4"/>
        <v>398</v>
      </c>
      <c r="O171" t="str">
        <f t="shared" si="5"/>
        <v>Low</v>
      </c>
    </row>
    <row r="172" spans="1:15" x14ac:dyDescent="0.25">
      <c r="A172" s="5" t="s">
        <v>525</v>
      </c>
      <c r="B172" s="5" t="s">
        <v>526</v>
      </c>
      <c r="C172" s="5" t="s">
        <v>15</v>
      </c>
      <c r="D172" s="5" t="s">
        <v>62</v>
      </c>
      <c r="E172" s="5">
        <v>6.34</v>
      </c>
      <c r="F172" s="5">
        <v>60</v>
      </c>
      <c r="G172" s="5">
        <v>64</v>
      </c>
      <c r="H172" s="5">
        <v>0</v>
      </c>
      <c r="I172" s="5" t="s">
        <v>527</v>
      </c>
      <c r="J172" s="5">
        <v>2026</v>
      </c>
      <c r="K172" s="5" t="s">
        <v>34</v>
      </c>
      <c r="L172" s="5" t="s">
        <v>79</v>
      </c>
      <c r="M172" s="6"/>
      <c r="N172">
        <f t="shared" si="4"/>
        <v>423</v>
      </c>
      <c r="O172" t="str">
        <f t="shared" si="5"/>
        <v>Low</v>
      </c>
    </row>
    <row r="173" spans="1:15" x14ac:dyDescent="0.25">
      <c r="A173" s="5" t="s">
        <v>528</v>
      </c>
      <c r="B173" s="8" t="s">
        <v>416</v>
      </c>
      <c r="C173" s="8" t="s">
        <v>22</v>
      </c>
      <c r="D173" s="8" t="s">
        <v>23</v>
      </c>
      <c r="E173" s="8">
        <v>6.47</v>
      </c>
      <c r="F173" s="8">
        <v>67.099999999999994</v>
      </c>
      <c r="G173" s="8">
        <v>58.6</v>
      </c>
      <c r="H173" s="8">
        <v>1</v>
      </c>
      <c r="I173" s="8" t="s">
        <v>82</v>
      </c>
      <c r="J173" s="8">
        <v>2026</v>
      </c>
      <c r="K173" s="8" t="s">
        <v>34</v>
      </c>
      <c r="L173" s="8" t="s">
        <v>79</v>
      </c>
      <c r="M173" s="9"/>
      <c r="N173">
        <f t="shared" si="4"/>
        <v>410</v>
      </c>
      <c r="O173" t="str">
        <f t="shared" si="5"/>
        <v>Low</v>
      </c>
    </row>
    <row r="174" spans="1:15" x14ac:dyDescent="0.25">
      <c r="A174" s="5" t="s">
        <v>529</v>
      </c>
      <c r="B174" s="5" t="s">
        <v>530</v>
      </c>
      <c r="C174" s="5" t="s">
        <v>54</v>
      </c>
      <c r="D174" s="5" t="s">
        <v>46</v>
      </c>
      <c r="E174" s="5">
        <v>8.5399999999999991</v>
      </c>
      <c r="F174" s="5">
        <v>72.5</v>
      </c>
      <c r="G174" s="5">
        <v>88.6</v>
      </c>
      <c r="H174" s="5">
        <v>0</v>
      </c>
      <c r="I174" s="5" t="s">
        <v>531</v>
      </c>
      <c r="J174" s="5">
        <v>2026</v>
      </c>
      <c r="K174" s="5" t="s">
        <v>18</v>
      </c>
      <c r="L174" s="5" t="s">
        <v>115</v>
      </c>
      <c r="M174" s="6">
        <v>6.2</v>
      </c>
      <c r="N174">
        <f t="shared" si="4"/>
        <v>142</v>
      </c>
      <c r="O174" t="str">
        <f t="shared" si="5"/>
        <v>High</v>
      </c>
    </row>
    <row r="175" spans="1:15" x14ac:dyDescent="0.25">
      <c r="A175" s="5" t="s">
        <v>532</v>
      </c>
      <c r="B175" s="8" t="s">
        <v>162</v>
      </c>
      <c r="C175" s="8" t="s">
        <v>22</v>
      </c>
      <c r="D175" s="8" t="s">
        <v>118</v>
      </c>
      <c r="E175" s="8">
        <v>8.06</v>
      </c>
      <c r="F175" s="8">
        <v>87.4</v>
      </c>
      <c r="G175" s="8">
        <v>72.8</v>
      </c>
      <c r="H175" s="8">
        <v>0</v>
      </c>
      <c r="I175" s="8" t="s">
        <v>119</v>
      </c>
      <c r="J175" s="8">
        <v>2026</v>
      </c>
      <c r="K175" s="8" t="s">
        <v>18</v>
      </c>
      <c r="L175" s="8" t="s">
        <v>108</v>
      </c>
      <c r="M175" s="9">
        <v>11.4</v>
      </c>
      <c r="N175">
        <f t="shared" si="4"/>
        <v>200</v>
      </c>
      <c r="O175" t="str">
        <f t="shared" si="5"/>
        <v>High</v>
      </c>
    </row>
    <row r="176" spans="1:15" x14ac:dyDescent="0.25">
      <c r="A176" s="5" t="s">
        <v>533</v>
      </c>
      <c r="B176" s="5" t="s">
        <v>534</v>
      </c>
      <c r="C176" s="5" t="s">
        <v>22</v>
      </c>
      <c r="D176" s="5" t="s">
        <v>118</v>
      </c>
      <c r="E176" s="5">
        <v>6.21</v>
      </c>
      <c r="F176" s="5">
        <v>89.9</v>
      </c>
      <c r="G176" s="5">
        <v>84.6</v>
      </c>
      <c r="H176" s="5">
        <v>0</v>
      </c>
      <c r="I176" s="5" t="s">
        <v>535</v>
      </c>
      <c r="J176" s="5">
        <v>2026</v>
      </c>
      <c r="K176" s="5" t="s">
        <v>34</v>
      </c>
      <c r="L176" s="5" t="s">
        <v>79</v>
      </c>
      <c r="M176" s="6"/>
      <c r="N176">
        <f t="shared" si="4"/>
        <v>433</v>
      </c>
      <c r="O176" t="str">
        <f t="shared" si="5"/>
        <v>Low</v>
      </c>
    </row>
    <row r="177" spans="1:15" x14ac:dyDescent="0.25">
      <c r="A177" s="5" t="s">
        <v>536</v>
      </c>
      <c r="B177" s="8" t="s">
        <v>537</v>
      </c>
      <c r="C177" s="8" t="s">
        <v>22</v>
      </c>
      <c r="D177" s="8" t="s">
        <v>16</v>
      </c>
      <c r="E177" s="8">
        <v>9.0399999999999991</v>
      </c>
      <c r="F177" s="8">
        <v>79.7</v>
      </c>
      <c r="G177" s="8">
        <v>66.099999999999994</v>
      </c>
      <c r="H177" s="8">
        <v>0</v>
      </c>
      <c r="I177" s="8" t="s">
        <v>538</v>
      </c>
      <c r="J177" s="8">
        <v>2026</v>
      </c>
      <c r="K177" s="8" t="s">
        <v>18</v>
      </c>
      <c r="L177" s="8" t="s">
        <v>518</v>
      </c>
      <c r="M177" s="9">
        <v>6.2</v>
      </c>
      <c r="N177">
        <f t="shared" si="4"/>
        <v>82</v>
      </c>
      <c r="O177" t="str">
        <f t="shared" si="5"/>
        <v>Very High</v>
      </c>
    </row>
    <row r="178" spans="1:15" x14ac:dyDescent="0.25">
      <c r="A178" s="5" t="s">
        <v>539</v>
      </c>
      <c r="B178" s="5" t="s">
        <v>540</v>
      </c>
      <c r="C178" s="5" t="s">
        <v>41</v>
      </c>
      <c r="D178" s="5" t="s">
        <v>209</v>
      </c>
      <c r="E178" s="5">
        <v>6.96</v>
      </c>
      <c r="F178" s="5">
        <v>66.2</v>
      </c>
      <c r="G178" s="5">
        <v>89.5</v>
      </c>
      <c r="H178" s="5">
        <v>3</v>
      </c>
      <c r="I178" s="5" t="s">
        <v>24</v>
      </c>
      <c r="J178" s="5">
        <v>2027</v>
      </c>
      <c r="K178" s="5" t="s">
        <v>30</v>
      </c>
      <c r="L178" s="5" t="s">
        <v>79</v>
      </c>
      <c r="M178" s="6"/>
      <c r="N178">
        <f t="shared" si="4"/>
        <v>342</v>
      </c>
      <c r="O178" t="str">
        <f t="shared" si="5"/>
        <v>Low</v>
      </c>
    </row>
    <row r="179" spans="1:15" x14ac:dyDescent="0.25">
      <c r="A179" s="5" t="s">
        <v>541</v>
      </c>
      <c r="B179" s="8" t="s">
        <v>542</v>
      </c>
      <c r="C179" s="8" t="s">
        <v>22</v>
      </c>
      <c r="D179" s="8" t="s">
        <v>16</v>
      </c>
      <c r="E179" s="8">
        <v>8.65</v>
      </c>
      <c r="F179" s="8">
        <v>89.8</v>
      </c>
      <c r="G179" s="8">
        <v>85</v>
      </c>
      <c r="H179" s="8">
        <v>0</v>
      </c>
      <c r="I179" s="8" t="s">
        <v>543</v>
      </c>
      <c r="J179" s="8">
        <v>2025</v>
      </c>
      <c r="K179" s="8" t="s">
        <v>34</v>
      </c>
      <c r="L179" s="8" t="s">
        <v>79</v>
      </c>
      <c r="M179" s="9"/>
      <c r="N179">
        <f t="shared" si="4"/>
        <v>130</v>
      </c>
      <c r="O179" t="str">
        <f t="shared" si="5"/>
        <v>High</v>
      </c>
    </row>
    <row r="180" spans="1:15" x14ac:dyDescent="0.25">
      <c r="A180" s="5" t="s">
        <v>544</v>
      </c>
      <c r="B180" s="5" t="s">
        <v>545</v>
      </c>
      <c r="C180" s="5" t="s">
        <v>41</v>
      </c>
      <c r="D180" s="5" t="s">
        <v>209</v>
      </c>
      <c r="E180" s="5">
        <v>7.62</v>
      </c>
      <c r="F180" s="5">
        <v>75.5</v>
      </c>
      <c r="G180" s="5">
        <v>76.8</v>
      </c>
      <c r="H180" s="5">
        <v>1</v>
      </c>
      <c r="I180" s="5" t="s">
        <v>546</v>
      </c>
      <c r="J180" s="5">
        <v>2027</v>
      </c>
      <c r="K180" s="5" t="s">
        <v>34</v>
      </c>
      <c r="L180" s="5" t="s">
        <v>79</v>
      </c>
      <c r="M180" s="6"/>
      <c r="N180">
        <f t="shared" si="4"/>
        <v>255</v>
      </c>
      <c r="O180" t="str">
        <f t="shared" si="5"/>
        <v>Medium</v>
      </c>
    </row>
    <row r="181" spans="1:15" x14ac:dyDescent="0.25">
      <c r="A181" s="5" t="s">
        <v>547</v>
      </c>
      <c r="B181" s="8" t="s">
        <v>548</v>
      </c>
      <c r="C181" s="8" t="s">
        <v>22</v>
      </c>
      <c r="D181" s="8" t="s">
        <v>118</v>
      </c>
      <c r="E181" s="8">
        <v>6.87</v>
      </c>
      <c r="F181" s="8">
        <v>89.8</v>
      </c>
      <c r="G181" s="8">
        <v>65.5</v>
      </c>
      <c r="H181" s="8">
        <v>0</v>
      </c>
      <c r="I181" s="8" t="s">
        <v>549</v>
      </c>
      <c r="J181" s="8">
        <v>2026</v>
      </c>
      <c r="K181" s="8" t="s">
        <v>34</v>
      </c>
      <c r="L181" s="8" t="s">
        <v>79</v>
      </c>
      <c r="M181" s="9"/>
      <c r="N181">
        <f t="shared" si="4"/>
        <v>351</v>
      </c>
      <c r="O181" t="str">
        <f t="shared" si="5"/>
        <v>Low</v>
      </c>
    </row>
    <row r="182" spans="1:15" x14ac:dyDescent="0.25">
      <c r="A182" s="5" t="s">
        <v>550</v>
      </c>
      <c r="B182" s="5" t="s">
        <v>551</v>
      </c>
      <c r="C182" s="5" t="s">
        <v>54</v>
      </c>
      <c r="D182" s="5" t="s">
        <v>46</v>
      </c>
      <c r="E182" s="5">
        <v>5.8</v>
      </c>
      <c r="F182" s="5">
        <v>95.2</v>
      </c>
      <c r="G182" s="5">
        <v>59.3</v>
      </c>
      <c r="H182" s="5">
        <v>0</v>
      </c>
      <c r="I182" s="5" t="s">
        <v>552</v>
      </c>
      <c r="J182" s="5">
        <v>2025</v>
      </c>
      <c r="K182" s="5" t="s">
        <v>34</v>
      </c>
      <c r="L182" s="5" t="s">
        <v>79</v>
      </c>
      <c r="M182" s="6"/>
      <c r="N182">
        <f t="shared" si="4"/>
        <v>480</v>
      </c>
      <c r="O182" t="str">
        <f t="shared" si="5"/>
        <v>Low</v>
      </c>
    </row>
    <row r="183" spans="1:15" x14ac:dyDescent="0.25">
      <c r="A183" s="5" t="s">
        <v>553</v>
      </c>
      <c r="B183" s="8" t="s">
        <v>554</v>
      </c>
      <c r="C183" s="8" t="s">
        <v>15</v>
      </c>
      <c r="D183" s="8" t="s">
        <v>28</v>
      </c>
      <c r="E183" s="8">
        <v>8.3000000000000007</v>
      </c>
      <c r="F183" s="8">
        <v>85.5</v>
      </c>
      <c r="G183" s="8">
        <v>84.7</v>
      </c>
      <c r="H183" s="8">
        <v>0</v>
      </c>
      <c r="I183" s="8" t="s">
        <v>555</v>
      </c>
      <c r="J183" s="8">
        <v>2026</v>
      </c>
      <c r="K183" s="8" t="s">
        <v>18</v>
      </c>
      <c r="L183" s="8" t="s">
        <v>59</v>
      </c>
      <c r="M183" s="9">
        <v>5.6</v>
      </c>
      <c r="N183">
        <f t="shared" si="4"/>
        <v>170</v>
      </c>
      <c r="O183" t="str">
        <f t="shared" si="5"/>
        <v>High</v>
      </c>
    </row>
    <row r="184" spans="1:15" x14ac:dyDescent="0.25">
      <c r="A184" s="5" t="s">
        <v>556</v>
      </c>
      <c r="B184" s="5" t="s">
        <v>557</v>
      </c>
      <c r="C184" s="5" t="s">
        <v>15</v>
      </c>
      <c r="D184" s="5" t="s">
        <v>16</v>
      </c>
      <c r="E184" s="5">
        <v>8.58</v>
      </c>
      <c r="F184" s="5">
        <v>89.3</v>
      </c>
      <c r="G184" s="5">
        <v>95.5</v>
      </c>
      <c r="H184" s="5">
        <v>0</v>
      </c>
      <c r="I184" s="5" t="s">
        <v>153</v>
      </c>
      <c r="J184" s="5">
        <v>2026</v>
      </c>
      <c r="K184" s="5" t="s">
        <v>34</v>
      </c>
      <c r="L184" s="5" t="s">
        <v>79</v>
      </c>
      <c r="M184" s="6"/>
      <c r="N184">
        <f t="shared" si="4"/>
        <v>138</v>
      </c>
      <c r="O184" t="str">
        <f t="shared" si="5"/>
        <v>High</v>
      </c>
    </row>
    <row r="185" spans="1:15" x14ac:dyDescent="0.25">
      <c r="A185" s="5" t="s">
        <v>558</v>
      </c>
      <c r="B185" s="8" t="s">
        <v>559</v>
      </c>
      <c r="C185" s="8" t="s">
        <v>41</v>
      </c>
      <c r="D185" s="8" t="s">
        <v>209</v>
      </c>
      <c r="E185" s="8">
        <v>6.35</v>
      </c>
      <c r="F185" s="8">
        <v>87.5</v>
      </c>
      <c r="G185" s="8">
        <v>84.6</v>
      </c>
      <c r="H185" s="8">
        <v>0</v>
      </c>
      <c r="I185" s="8" t="s">
        <v>560</v>
      </c>
      <c r="J185" s="8">
        <v>2026</v>
      </c>
      <c r="K185" s="8" t="s">
        <v>18</v>
      </c>
      <c r="L185" s="8" t="s">
        <v>138</v>
      </c>
      <c r="M185" s="9">
        <v>11</v>
      </c>
      <c r="N185">
        <f t="shared" si="4"/>
        <v>421</v>
      </c>
      <c r="O185" t="str">
        <f t="shared" si="5"/>
        <v>Low</v>
      </c>
    </row>
    <row r="186" spans="1:15" x14ac:dyDescent="0.25">
      <c r="A186" s="5" t="s">
        <v>561</v>
      </c>
      <c r="B186" s="5" t="s">
        <v>562</v>
      </c>
      <c r="C186" s="5" t="s">
        <v>54</v>
      </c>
      <c r="D186" s="5" t="s">
        <v>169</v>
      </c>
      <c r="E186" s="5">
        <v>8.5500000000000007</v>
      </c>
      <c r="F186" s="5">
        <v>91.1</v>
      </c>
      <c r="G186" s="5">
        <v>54</v>
      </c>
      <c r="H186" s="5">
        <v>0</v>
      </c>
      <c r="I186" s="5" t="s">
        <v>17</v>
      </c>
      <c r="J186" s="5">
        <v>2026</v>
      </c>
      <c r="K186" s="5" t="s">
        <v>18</v>
      </c>
      <c r="L186" s="5" t="s">
        <v>25</v>
      </c>
      <c r="M186" s="6">
        <v>4.7</v>
      </c>
      <c r="N186">
        <f t="shared" si="4"/>
        <v>141</v>
      </c>
      <c r="O186" t="str">
        <f t="shared" si="5"/>
        <v>High</v>
      </c>
    </row>
    <row r="187" spans="1:15" x14ac:dyDescent="0.25">
      <c r="A187" s="5" t="s">
        <v>563</v>
      </c>
      <c r="B187" s="8" t="s">
        <v>564</v>
      </c>
      <c r="C187" s="8" t="s">
        <v>22</v>
      </c>
      <c r="D187" s="8" t="s">
        <v>23</v>
      </c>
      <c r="E187" s="8">
        <v>8.1999999999999993</v>
      </c>
      <c r="F187" s="8">
        <v>85.3</v>
      </c>
      <c r="G187" s="8">
        <v>63.1</v>
      </c>
      <c r="H187" s="8">
        <v>2</v>
      </c>
      <c r="I187" s="8" t="s">
        <v>565</v>
      </c>
      <c r="J187" s="8">
        <v>2026</v>
      </c>
      <c r="K187" s="8" t="s">
        <v>30</v>
      </c>
      <c r="L187" s="8" t="s">
        <v>79</v>
      </c>
      <c r="M187" s="9"/>
      <c r="N187">
        <f t="shared" si="4"/>
        <v>181</v>
      </c>
      <c r="O187" t="str">
        <f t="shared" si="5"/>
        <v>High</v>
      </c>
    </row>
    <row r="188" spans="1:15" x14ac:dyDescent="0.25">
      <c r="A188" s="5" t="s">
        <v>566</v>
      </c>
      <c r="B188" s="5" t="s">
        <v>567</v>
      </c>
      <c r="C188" s="5" t="s">
        <v>15</v>
      </c>
      <c r="D188" s="5" t="s">
        <v>16</v>
      </c>
      <c r="E188" s="5">
        <v>7.78</v>
      </c>
      <c r="F188" s="5">
        <v>59.7</v>
      </c>
      <c r="G188" s="5">
        <v>73</v>
      </c>
      <c r="H188" s="5">
        <v>0</v>
      </c>
      <c r="I188" s="5" t="s">
        <v>568</v>
      </c>
      <c r="J188" s="5">
        <v>2025</v>
      </c>
      <c r="K188" s="5" t="s">
        <v>30</v>
      </c>
      <c r="L188" s="5" t="s">
        <v>79</v>
      </c>
      <c r="M188" s="6"/>
      <c r="N188">
        <f t="shared" si="4"/>
        <v>230</v>
      </c>
      <c r="O188" t="str">
        <f t="shared" si="5"/>
        <v>Medium</v>
      </c>
    </row>
    <row r="189" spans="1:15" x14ac:dyDescent="0.25">
      <c r="A189" s="5" t="s">
        <v>569</v>
      </c>
      <c r="B189" s="8" t="s">
        <v>570</v>
      </c>
      <c r="C189" s="8" t="s">
        <v>22</v>
      </c>
      <c r="D189" s="8" t="s">
        <v>118</v>
      </c>
      <c r="E189" s="8">
        <v>9.6199999999999992</v>
      </c>
      <c r="F189" s="8">
        <v>87.4</v>
      </c>
      <c r="G189" s="8">
        <v>50.8</v>
      </c>
      <c r="H189" s="8">
        <v>0</v>
      </c>
      <c r="I189" s="8" t="s">
        <v>571</v>
      </c>
      <c r="J189" s="8">
        <v>2026</v>
      </c>
      <c r="K189" s="8" t="s">
        <v>18</v>
      </c>
      <c r="L189" s="8" t="s">
        <v>157</v>
      </c>
      <c r="M189" s="9">
        <v>8.6</v>
      </c>
      <c r="N189">
        <f t="shared" si="4"/>
        <v>17</v>
      </c>
      <c r="O189" t="str">
        <f t="shared" si="5"/>
        <v>Very High</v>
      </c>
    </row>
    <row r="190" spans="1:15" x14ac:dyDescent="0.25">
      <c r="A190" s="5" t="s">
        <v>572</v>
      </c>
      <c r="B190" s="5" t="s">
        <v>573</v>
      </c>
      <c r="C190" s="5" t="s">
        <v>54</v>
      </c>
      <c r="D190" s="5" t="s">
        <v>42</v>
      </c>
      <c r="E190" s="5">
        <v>8.36</v>
      </c>
      <c r="F190" s="5">
        <v>77.599999999999994</v>
      </c>
      <c r="G190" s="5">
        <v>57</v>
      </c>
      <c r="H190" s="5">
        <v>0</v>
      </c>
      <c r="I190" s="5" t="s">
        <v>574</v>
      </c>
      <c r="J190" s="5">
        <v>2027</v>
      </c>
      <c r="K190" s="5" t="s">
        <v>18</v>
      </c>
      <c r="L190" s="5" t="s">
        <v>138</v>
      </c>
      <c r="M190" s="6">
        <v>7.4</v>
      </c>
      <c r="N190">
        <f t="shared" si="4"/>
        <v>162</v>
      </c>
      <c r="O190" t="str">
        <f t="shared" si="5"/>
        <v>High</v>
      </c>
    </row>
    <row r="191" spans="1:15" x14ac:dyDescent="0.25">
      <c r="A191" s="5" t="s">
        <v>575</v>
      </c>
      <c r="B191" s="8" t="s">
        <v>576</v>
      </c>
      <c r="C191" s="8" t="s">
        <v>41</v>
      </c>
      <c r="D191" s="8" t="s">
        <v>28</v>
      </c>
      <c r="E191" s="8">
        <v>8.7200000000000006</v>
      </c>
      <c r="F191" s="8">
        <v>90.6</v>
      </c>
      <c r="G191" s="8">
        <v>52.7</v>
      </c>
      <c r="H191" s="8">
        <v>0</v>
      </c>
      <c r="I191" s="8" t="s">
        <v>577</v>
      </c>
      <c r="J191" s="8">
        <v>2026</v>
      </c>
      <c r="K191" s="8" t="s">
        <v>34</v>
      </c>
      <c r="L191" s="8" t="s">
        <v>79</v>
      </c>
      <c r="M191" s="9"/>
      <c r="N191">
        <f t="shared" si="4"/>
        <v>120</v>
      </c>
      <c r="O191" t="str">
        <f t="shared" si="5"/>
        <v>High</v>
      </c>
    </row>
    <row r="192" spans="1:15" x14ac:dyDescent="0.25">
      <c r="A192" s="5" t="s">
        <v>578</v>
      </c>
      <c r="B192" s="5" t="s">
        <v>579</v>
      </c>
      <c r="C192" s="5" t="s">
        <v>15</v>
      </c>
      <c r="D192" s="5" t="s">
        <v>16</v>
      </c>
      <c r="E192" s="5">
        <v>7.79</v>
      </c>
      <c r="F192" s="5">
        <v>69.599999999999994</v>
      </c>
      <c r="G192" s="5">
        <v>73.8</v>
      </c>
      <c r="H192" s="5">
        <v>1</v>
      </c>
      <c r="I192" s="5" t="s">
        <v>580</v>
      </c>
      <c r="J192" s="5">
        <v>2026</v>
      </c>
      <c r="K192" s="5" t="s">
        <v>18</v>
      </c>
      <c r="L192" s="5" t="s">
        <v>38</v>
      </c>
      <c r="M192" s="6">
        <v>4.5</v>
      </c>
      <c r="N192">
        <f t="shared" si="4"/>
        <v>229</v>
      </c>
      <c r="O192" t="str">
        <f t="shared" si="5"/>
        <v>Medium</v>
      </c>
    </row>
    <row r="193" spans="1:15" x14ac:dyDescent="0.25">
      <c r="A193" s="5" t="s">
        <v>581</v>
      </c>
      <c r="B193" s="8" t="s">
        <v>551</v>
      </c>
      <c r="C193" s="8" t="s">
        <v>41</v>
      </c>
      <c r="D193" s="8" t="s">
        <v>28</v>
      </c>
      <c r="E193" s="8">
        <v>6.89</v>
      </c>
      <c r="F193" s="8">
        <v>57.7</v>
      </c>
      <c r="G193" s="8">
        <v>82.8</v>
      </c>
      <c r="H193" s="8">
        <v>0</v>
      </c>
      <c r="I193" s="8" t="s">
        <v>582</v>
      </c>
      <c r="J193" s="8">
        <v>2026</v>
      </c>
      <c r="K193" s="8" t="s">
        <v>18</v>
      </c>
      <c r="L193" s="8" t="s">
        <v>108</v>
      </c>
      <c r="M193" s="9">
        <v>9.3000000000000007</v>
      </c>
      <c r="N193">
        <f t="shared" si="4"/>
        <v>347</v>
      </c>
      <c r="O193" t="str">
        <f t="shared" si="5"/>
        <v>Low</v>
      </c>
    </row>
    <row r="194" spans="1:15" x14ac:dyDescent="0.25">
      <c r="A194" s="5" t="s">
        <v>583</v>
      </c>
      <c r="B194" s="5" t="s">
        <v>81</v>
      </c>
      <c r="C194" s="5" t="s">
        <v>41</v>
      </c>
      <c r="D194" s="5" t="s">
        <v>42</v>
      </c>
      <c r="E194" s="5">
        <v>9.3800000000000008</v>
      </c>
      <c r="F194" s="5">
        <v>83.3</v>
      </c>
      <c r="G194" s="5">
        <v>55.3</v>
      </c>
      <c r="H194" s="5">
        <v>0</v>
      </c>
      <c r="I194" s="5" t="s">
        <v>584</v>
      </c>
      <c r="J194" s="5">
        <v>2026</v>
      </c>
      <c r="K194" s="5" t="s">
        <v>18</v>
      </c>
      <c r="L194" s="5" t="s">
        <v>70</v>
      </c>
      <c r="M194" s="6">
        <v>13.1</v>
      </c>
      <c r="N194">
        <f t="shared" si="4"/>
        <v>43</v>
      </c>
      <c r="O194" t="str">
        <f t="shared" si="5"/>
        <v>Very High</v>
      </c>
    </row>
    <row r="195" spans="1:15" x14ac:dyDescent="0.25">
      <c r="A195" s="5" t="s">
        <v>585</v>
      </c>
      <c r="B195" s="8" t="s">
        <v>586</v>
      </c>
      <c r="C195" s="8" t="s">
        <v>54</v>
      </c>
      <c r="D195" s="8" t="s">
        <v>42</v>
      </c>
      <c r="E195" s="8">
        <v>7.09</v>
      </c>
      <c r="F195" s="8">
        <v>72.5</v>
      </c>
      <c r="G195" s="8">
        <v>83.1</v>
      </c>
      <c r="H195" s="8">
        <v>0</v>
      </c>
      <c r="I195" s="8" t="s">
        <v>587</v>
      </c>
      <c r="J195" s="8">
        <v>2025</v>
      </c>
      <c r="K195" s="8" t="s">
        <v>34</v>
      </c>
      <c r="L195" s="8" t="s">
        <v>79</v>
      </c>
      <c r="M195" s="9"/>
      <c r="N195">
        <f t="shared" ref="N195:N258" si="6">RANK(E195,$E$2:$E$481,0)</f>
        <v>324</v>
      </c>
      <c r="O195" t="str">
        <f t="shared" ref="O195:O258" si="7">IF(E195&gt;=9,"Very High",IF(E195&gt;=8,"High",IF(E195&gt;=7,"Medium","Low")))</f>
        <v>Medium</v>
      </c>
    </row>
    <row r="196" spans="1:15" x14ac:dyDescent="0.25">
      <c r="A196" s="5" t="s">
        <v>588</v>
      </c>
      <c r="B196" s="5" t="s">
        <v>589</v>
      </c>
      <c r="C196" s="5" t="s">
        <v>15</v>
      </c>
      <c r="D196" s="5" t="s">
        <v>28</v>
      </c>
      <c r="E196" s="5">
        <v>6.08</v>
      </c>
      <c r="F196" s="5">
        <v>74.5</v>
      </c>
      <c r="G196" s="5">
        <v>63</v>
      </c>
      <c r="H196" s="5">
        <v>1</v>
      </c>
      <c r="I196" s="5" t="s">
        <v>590</v>
      </c>
      <c r="J196" s="5">
        <v>2026</v>
      </c>
      <c r="K196" s="5" t="s">
        <v>34</v>
      </c>
      <c r="L196" s="5" t="s">
        <v>79</v>
      </c>
      <c r="M196" s="6"/>
      <c r="N196">
        <f t="shared" si="6"/>
        <v>445</v>
      </c>
      <c r="O196" t="str">
        <f t="shared" si="7"/>
        <v>Low</v>
      </c>
    </row>
    <row r="197" spans="1:15" x14ac:dyDescent="0.25">
      <c r="A197" s="5" t="s">
        <v>591</v>
      </c>
      <c r="B197" s="8" t="s">
        <v>75</v>
      </c>
      <c r="C197" s="8" t="s">
        <v>22</v>
      </c>
      <c r="D197" s="8" t="s">
        <v>118</v>
      </c>
      <c r="E197" s="8">
        <v>7.27</v>
      </c>
      <c r="F197" s="8">
        <v>95.8</v>
      </c>
      <c r="G197" s="8">
        <v>95.9</v>
      </c>
      <c r="H197" s="8">
        <v>0</v>
      </c>
      <c r="I197" s="8" t="s">
        <v>592</v>
      </c>
      <c r="J197" s="8">
        <v>2025</v>
      </c>
      <c r="K197" s="8" t="s">
        <v>30</v>
      </c>
      <c r="L197" s="8" t="s">
        <v>79</v>
      </c>
      <c r="M197" s="9"/>
      <c r="N197">
        <f t="shared" si="6"/>
        <v>306</v>
      </c>
      <c r="O197" t="str">
        <f t="shared" si="7"/>
        <v>Medium</v>
      </c>
    </row>
    <row r="198" spans="1:15" x14ac:dyDescent="0.25">
      <c r="A198" s="5" t="s">
        <v>593</v>
      </c>
      <c r="B198" s="5" t="s">
        <v>594</v>
      </c>
      <c r="C198" s="5" t="s">
        <v>41</v>
      </c>
      <c r="D198" s="5" t="s">
        <v>42</v>
      </c>
      <c r="E198" s="5">
        <v>8.84</v>
      </c>
      <c r="F198" s="5">
        <v>70.8</v>
      </c>
      <c r="G198" s="5">
        <v>84</v>
      </c>
      <c r="H198" s="5">
        <v>0</v>
      </c>
      <c r="I198" s="5" t="s">
        <v>595</v>
      </c>
      <c r="J198" s="5">
        <v>2026</v>
      </c>
      <c r="K198" s="5" t="s">
        <v>18</v>
      </c>
      <c r="L198" s="5" t="s">
        <v>308</v>
      </c>
      <c r="M198" s="6">
        <v>10.9</v>
      </c>
      <c r="N198">
        <f t="shared" si="6"/>
        <v>96</v>
      </c>
      <c r="O198" t="str">
        <f t="shared" si="7"/>
        <v>High</v>
      </c>
    </row>
    <row r="199" spans="1:15" x14ac:dyDescent="0.25">
      <c r="A199" s="5" t="s">
        <v>596</v>
      </c>
      <c r="B199" s="8" t="s">
        <v>597</v>
      </c>
      <c r="C199" s="8" t="s">
        <v>22</v>
      </c>
      <c r="D199" s="8" t="s">
        <v>23</v>
      </c>
      <c r="E199" s="8">
        <v>7.45</v>
      </c>
      <c r="F199" s="8">
        <v>92.6</v>
      </c>
      <c r="G199" s="8">
        <v>71.099999999999994</v>
      </c>
      <c r="H199" s="8">
        <v>0</v>
      </c>
      <c r="I199" s="8" t="s">
        <v>369</v>
      </c>
      <c r="J199" s="8">
        <v>2026</v>
      </c>
      <c r="K199" s="8" t="s">
        <v>18</v>
      </c>
      <c r="L199" s="8" t="s">
        <v>59</v>
      </c>
      <c r="M199" s="9">
        <v>9.3000000000000007</v>
      </c>
      <c r="N199">
        <f t="shared" si="6"/>
        <v>280</v>
      </c>
      <c r="O199" t="str">
        <f t="shared" si="7"/>
        <v>Medium</v>
      </c>
    </row>
    <row r="200" spans="1:15" x14ac:dyDescent="0.25">
      <c r="A200" s="5" t="s">
        <v>598</v>
      </c>
      <c r="B200" s="5" t="s">
        <v>599</v>
      </c>
      <c r="C200" s="5" t="s">
        <v>22</v>
      </c>
      <c r="D200" s="5" t="s">
        <v>118</v>
      </c>
      <c r="E200" s="5">
        <v>6.84</v>
      </c>
      <c r="F200" s="5">
        <v>68.2</v>
      </c>
      <c r="G200" s="5">
        <v>86.8</v>
      </c>
      <c r="H200" s="5">
        <v>0</v>
      </c>
      <c r="I200" s="5" t="s">
        <v>600</v>
      </c>
      <c r="J200" s="5">
        <v>2025</v>
      </c>
      <c r="K200" s="5" t="s">
        <v>18</v>
      </c>
      <c r="L200" s="5" t="s">
        <v>25</v>
      </c>
      <c r="M200" s="6">
        <v>11.5</v>
      </c>
      <c r="N200">
        <f t="shared" si="6"/>
        <v>355</v>
      </c>
      <c r="O200" t="str">
        <f t="shared" si="7"/>
        <v>Low</v>
      </c>
    </row>
    <row r="201" spans="1:15" x14ac:dyDescent="0.25">
      <c r="A201" s="5" t="s">
        <v>601</v>
      </c>
      <c r="B201" s="8" t="s">
        <v>602</v>
      </c>
      <c r="C201" s="8" t="s">
        <v>15</v>
      </c>
      <c r="D201" s="8" t="s">
        <v>16</v>
      </c>
      <c r="E201" s="8">
        <v>7.6</v>
      </c>
      <c r="F201" s="8">
        <v>68.2</v>
      </c>
      <c r="G201" s="8">
        <v>55.6</v>
      </c>
      <c r="H201" s="8">
        <v>0</v>
      </c>
      <c r="I201" s="8" t="s">
        <v>603</v>
      </c>
      <c r="J201" s="8">
        <v>2026</v>
      </c>
      <c r="K201" s="8" t="s">
        <v>18</v>
      </c>
      <c r="L201" s="8" t="s">
        <v>308</v>
      </c>
      <c r="M201" s="9">
        <v>11.9</v>
      </c>
      <c r="N201">
        <f t="shared" si="6"/>
        <v>261</v>
      </c>
      <c r="O201" t="str">
        <f t="shared" si="7"/>
        <v>Medium</v>
      </c>
    </row>
    <row r="202" spans="1:15" x14ac:dyDescent="0.25">
      <c r="A202" s="5" t="s">
        <v>604</v>
      </c>
      <c r="B202" s="5" t="s">
        <v>605</v>
      </c>
      <c r="C202" s="5" t="s">
        <v>15</v>
      </c>
      <c r="D202" s="5" t="s">
        <v>16</v>
      </c>
      <c r="E202" s="5">
        <v>9.14</v>
      </c>
      <c r="F202" s="5">
        <v>68.8</v>
      </c>
      <c r="G202" s="5">
        <v>54.2</v>
      </c>
      <c r="H202" s="5">
        <v>0</v>
      </c>
      <c r="I202" s="5" t="s">
        <v>606</v>
      </c>
      <c r="J202" s="5">
        <v>2026</v>
      </c>
      <c r="K202" s="5" t="s">
        <v>34</v>
      </c>
      <c r="L202" s="5" t="s">
        <v>79</v>
      </c>
      <c r="M202" s="6"/>
      <c r="N202">
        <f t="shared" si="6"/>
        <v>70</v>
      </c>
      <c r="O202" t="str">
        <f t="shared" si="7"/>
        <v>Very High</v>
      </c>
    </row>
    <row r="203" spans="1:15" x14ac:dyDescent="0.25">
      <c r="A203" s="5" t="s">
        <v>607</v>
      </c>
      <c r="B203" s="8" t="s">
        <v>608</v>
      </c>
      <c r="C203" s="8" t="s">
        <v>54</v>
      </c>
      <c r="D203" s="8" t="s">
        <v>169</v>
      </c>
      <c r="E203" s="8">
        <v>8.7899999999999991</v>
      </c>
      <c r="F203" s="8">
        <v>65.5</v>
      </c>
      <c r="G203" s="8">
        <v>71.3</v>
      </c>
      <c r="H203" s="8">
        <v>1</v>
      </c>
      <c r="I203" s="8" t="s">
        <v>609</v>
      </c>
      <c r="J203" s="8">
        <v>2026</v>
      </c>
      <c r="K203" s="8" t="s">
        <v>34</v>
      </c>
      <c r="L203" s="8" t="s">
        <v>79</v>
      </c>
      <c r="M203" s="9"/>
      <c r="N203">
        <f t="shared" si="6"/>
        <v>108</v>
      </c>
      <c r="O203" t="str">
        <f t="shared" si="7"/>
        <v>High</v>
      </c>
    </row>
    <row r="204" spans="1:15" x14ac:dyDescent="0.25">
      <c r="A204" s="5" t="s">
        <v>610</v>
      </c>
      <c r="B204" s="5" t="s">
        <v>611</v>
      </c>
      <c r="C204" s="5" t="s">
        <v>41</v>
      </c>
      <c r="D204" s="5" t="s">
        <v>42</v>
      </c>
      <c r="E204" s="5">
        <v>8.1300000000000008</v>
      </c>
      <c r="F204" s="5">
        <v>65.900000000000006</v>
      </c>
      <c r="G204" s="5">
        <v>87.4</v>
      </c>
      <c r="H204" s="5">
        <v>0</v>
      </c>
      <c r="I204" s="5" t="s">
        <v>612</v>
      </c>
      <c r="J204" s="5">
        <v>2026</v>
      </c>
      <c r="K204" s="5" t="s">
        <v>18</v>
      </c>
      <c r="L204" s="5" t="s">
        <v>108</v>
      </c>
      <c r="M204" s="6">
        <v>12.2</v>
      </c>
      <c r="N204">
        <f t="shared" si="6"/>
        <v>190</v>
      </c>
      <c r="O204" t="str">
        <f t="shared" si="7"/>
        <v>High</v>
      </c>
    </row>
    <row r="205" spans="1:15" x14ac:dyDescent="0.25">
      <c r="A205" s="5" t="s">
        <v>613</v>
      </c>
      <c r="B205" s="8" t="s">
        <v>614</v>
      </c>
      <c r="C205" s="8" t="s">
        <v>15</v>
      </c>
      <c r="D205" s="8" t="s">
        <v>28</v>
      </c>
      <c r="E205" s="8">
        <v>6</v>
      </c>
      <c r="F205" s="8">
        <v>93.8</v>
      </c>
      <c r="G205" s="8">
        <v>69.900000000000006</v>
      </c>
      <c r="H205" s="8">
        <v>0</v>
      </c>
      <c r="I205" s="8" t="s">
        <v>615</v>
      </c>
      <c r="J205" s="8">
        <v>2026</v>
      </c>
      <c r="K205" s="8" t="s">
        <v>18</v>
      </c>
      <c r="L205" s="8" t="s">
        <v>188</v>
      </c>
      <c r="M205" s="9">
        <v>8</v>
      </c>
      <c r="N205">
        <f t="shared" si="6"/>
        <v>457</v>
      </c>
      <c r="O205" t="str">
        <f t="shared" si="7"/>
        <v>Low</v>
      </c>
    </row>
    <row r="206" spans="1:15" x14ac:dyDescent="0.25">
      <c r="A206" s="5" t="s">
        <v>616</v>
      </c>
      <c r="B206" s="5" t="s">
        <v>617</v>
      </c>
      <c r="C206" s="5" t="s">
        <v>22</v>
      </c>
      <c r="D206" s="5" t="s">
        <v>23</v>
      </c>
      <c r="E206" s="5">
        <v>6.98</v>
      </c>
      <c r="F206" s="5">
        <v>72.3</v>
      </c>
      <c r="G206" s="5">
        <v>75.3</v>
      </c>
      <c r="H206" s="5">
        <v>0</v>
      </c>
      <c r="I206" s="5" t="s">
        <v>618</v>
      </c>
      <c r="J206" s="5">
        <v>2026</v>
      </c>
      <c r="K206" s="5" t="s">
        <v>34</v>
      </c>
      <c r="L206" s="5" t="s">
        <v>79</v>
      </c>
      <c r="M206" s="6"/>
      <c r="N206">
        <f t="shared" si="6"/>
        <v>341</v>
      </c>
      <c r="O206" t="str">
        <f t="shared" si="7"/>
        <v>Low</v>
      </c>
    </row>
    <row r="207" spans="1:15" x14ac:dyDescent="0.25">
      <c r="A207" s="5" t="s">
        <v>619</v>
      </c>
      <c r="B207" s="8" t="s">
        <v>620</v>
      </c>
      <c r="C207" s="8" t="s">
        <v>15</v>
      </c>
      <c r="D207" s="8" t="s">
        <v>28</v>
      </c>
      <c r="E207" s="8">
        <v>8.93</v>
      </c>
      <c r="F207" s="8">
        <v>70.099999999999994</v>
      </c>
      <c r="G207" s="8">
        <v>75</v>
      </c>
      <c r="H207" s="8">
        <v>0</v>
      </c>
      <c r="I207" s="8" t="s">
        <v>621</v>
      </c>
      <c r="J207" s="8">
        <v>2026</v>
      </c>
      <c r="K207" s="8" t="s">
        <v>18</v>
      </c>
      <c r="L207" s="8" t="s">
        <v>38</v>
      </c>
      <c r="M207" s="9">
        <v>12</v>
      </c>
      <c r="N207">
        <f t="shared" si="6"/>
        <v>90</v>
      </c>
      <c r="O207" t="str">
        <f t="shared" si="7"/>
        <v>High</v>
      </c>
    </row>
    <row r="208" spans="1:15" x14ac:dyDescent="0.25">
      <c r="A208" s="5" t="s">
        <v>622</v>
      </c>
      <c r="B208" s="5" t="s">
        <v>623</v>
      </c>
      <c r="C208" s="5" t="s">
        <v>54</v>
      </c>
      <c r="D208" s="5" t="s">
        <v>169</v>
      </c>
      <c r="E208" s="5">
        <v>7.23</v>
      </c>
      <c r="F208" s="5">
        <v>79.5</v>
      </c>
      <c r="G208" s="5">
        <v>60.7</v>
      </c>
      <c r="H208" s="5">
        <v>0</v>
      </c>
      <c r="I208" s="5" t="s">
        <v>624</v>
      </c>
      <c r="J208" s="5">
        <v>2026</v>
      </c>
      <c r="K208" s="5" t="s">
        <v>30</v>
      </c>
      <c r="L208" s="5" t="s">
        <v>79</v>
      </c>
      <c r="M208" s="6"/>
      <c r="N208">
        <f t="shared" si="6"/>
        <v>309</v>
      </c>
      <c r="O208" t="str">
        <f t="shared" si="7"/>
        <v>Medium</v>
      </c>
    </row>
    <row r="209" spans="1:15" x14ac:dyDescent="0.25">
      <c r="A209" s="5" t="s">
        <v>625</v>
      </c>
      <c r="B209" s="8" t="s">
        <v>626</v>
      </c>
      <c r="C209" s="8" t="s">
        <v>41</v>
      </c>
      <c r="D209" s="8" t="s">
        <v>46</v>
      </c>
      <c r="E209" s="8">
        <v>6.5</v>
      </c>
      <c r="F209" s="8">
        <v>79.900000000000006</v>
      </c>
      <c r="G209" s="8">
        <v>87.1</v>
      </c>
      <c r="H209" s="8">
        <v>0</v>
      </c>
      <c r="I209" s="8" t="s">
        <v>311</v>
      </c>
      <c r="J209" s="8">
        <v>2026</v>
      </c>
      <c r="K209" s="8" t="s">
        <v>18</v>
      </c>
      <c r="L209" s="8" t="s">
        <v>25</v>
      </c>
      <c r="M209" s="9">
        <v>12.7</v>
      </c>
      <c r="N209">
        <f t="shared" si="6"/>
        <v>403</v>
      </c>
      <c r="O209" t="str">
        <f t="shared" si="7"/>
        <v>Low</v>
      </c>
    </row>
    <row r="210" spans="1:15" x14ac:dyDescent="0.25">
      <c r="A210" s="5" t="s">
        <v>627</v>
      </c>
      <c r="B210" s="5" t="s">
        <v>628</v>
      </c>
      <c r="C210" s="5" t="s">
        <v>41</v>
      </c>
      <c r="D210" s="5" t="s">
        <v>46</v>
      </c>
      <c r="E210" s="5">
        <v>7.76</v>
      </c>
      <c r="F210" s="5">
        <v>58.8</v>
      </c>
      <c r="G210" s="5">
        <v>60.7</v>
      </c>
      <c r="H210" s="5">
        <v>0</v>
      </c>
      <c r="I210" s="5" t="s">
        <v>629</v>
      </c>
      <c r="J210" s="5">
        <v>2026</v>
      </c>
      <c r="K210" s="5" t="s">
        <v>18</v>
      </c>
      <c r="L210" s="5" t="s">
        <v>25</v>
      </c>
      <c r="M210" s="6">
        <v>12.3</v>
      </c>
      <c r="N210">
        <f t="shared" si="6"/>
        <v>235</v>
      </c>
      <c r="O210" t="str">
        <f t="shared" si="7"/>
        <v>Medium</v>
      </c>
    </row>
    <row r="211" spans="1:15" x14ac:dyDescent="0.25">
      <c r="A211" s="5" t="s">
        <v>630</v>
      </c>
      <c r="B211" s="8" t="s">
        <v>631</v>
      </c>
      <c r="C211" s="8" t="s">
        <v>15</v>
      </c>
      <c r="D211" s="8" t="s">
        <v>16</v>
      </c>
      <c r="E211" s="8">
        <v>8.15</v>
      </c>
      <c r="F211" s="8">
        <v>93.5</v>
      </c>
      <c r="G211" s="8">
        <v>85.6</v>
      </c>
      <c r="H211" s="8">
        <v>1</v>
      </c>
      <c r="I211" s="8" t="s">
        <v>632</v>
      </c>
      <c r="J211" s="8">
        <v>2025</v>
      </c>
      <c r="K211" s="8" t="s">
        <v>18</v>
      </c>
      <c r="L211" s="8" t="s">
        <v>308</v>
      </c>
      <c r="M211" s="9">
        <v>13.7</v>
      </c>
      <c r="N211">
        <f t="shared" si="6"/>
        <v>187</v>
      </c>
      <c r="O211" t="str">
        <f t="shared" si="7"/>
        <v>High</v>
      </c>
    </row>
    <row r="212" spans="1:15" x14ac:dyDescent="0.25">
      <c r="A212" s="5" t="s">
        <v>633</v>
      </c>
      <c r="B212" s="5" t="s">
        <v>274</v>
      </c>
      <c r="C212" s="5" t="s">
        <v>54</v>
      </c>
      <c r="D212" s="5" t="s">
        <v>169</v>
      </c>
      <c r="E212" s="5">
        <v>7.07</v>
      </c>
      <c r="F212" s="5">
        <v>84.7</v>
      </c>
      <c r="G212" s="5">
        <v>75.900000000000006</v>
      </c>
      <c r="H212" s="5">
        <v>1</v>
      </c>
      <c r="I212" s="5" t="s">
        <v>634</v>
      </c>
      <c r="J212" s="5">
        <v>2026</v>
      </c>
      <c r="K212" s="5" t="s">
        <v>34</v>
      </c>
      <c r="L212" s="5" t="s">
        <v>79</v>
      </c>
      <c r="M212" s="6"/>
      <c r="N212">
        <f t="shared" si="6"/>
        <v>328</v>
      </c>
      <c r="O212" t="str">
        <f t="shared" si="7"/>
        <v>Medium</v>
      </c>
    </row>
    <row r="213" spans="1:15" x14ac:dyDescent="0.25">
      <c r="A213" s="5" t="s">
        <v>635</v>
      </c>
      <c r="B213" s="8" t="s">
        <v>636</v>
      </c>
      <c r="C213" s="8" t="s">
        <v>54</v>
      </c>
      <c r="D213" s="8" t="s">
        <v>169</v>
      </c>
      <c r="E213" s="8">
        <v>7.76</v>
      </c>
      <c r="F213" s="8">
        <v>80.3</v>
      </c>
      <c r="G213" s="8">
        <v>92.4</v>
      </c>
      <c r="H213" s="8">
        <v>2</v>
      </c>
      <c r="I213" s="8" t="s">
        <v>637</v>
      </c>
      <c r="J213" s="8">
        <v>2025</v>
      </c>
      <c r="K213" s="8" t="s">
        <v>34</v>
      </c>
      <c r="L213" s="8" t="s">
        <v>79</v>
      </c>
      <c r="M213" s="9"/>
      <c r="N213">
        <f t="shared" si="6"/>
        <v>235</v>
      </c>
      <c r="O213" t="str">
        <f t="shared" si="7"/>
        <v>Medium</v>
      </c>
    </row>
    <row r="214" spans="1:15" x14ac:dyDescent="0.25">
      <c r="A214" s="5" t="s">
        <v>638</v>
      </c>
      <c r="B214" s="5" t="s">
        <v>274</v>
      </c>
      <c r="C214" s="5" t="s">
        <v>22</v>
      </c>
      <c r="D214" s="5" t="s">
        <v>23</v>
      </c>
      <c r="E214" s="5">
        <v>9.34</v>
      </c>
      <c r="F214" s="5">
        <v>58.7</v>
      </c>
      <c r="G214" s="5">
        <v>82.6</v>
      </c>
      <c r="H214" s="5">
        <v>0</v>
      </c>
      <c r="I214" s="5" t="s">
        <v>639</v>
      </c>
      <c r="J214" s="5">
        <v>2026</v>
      </c>
      <c r="K214" s="5" t="s">
        <v>18</v>
      </c>
      <c r="L214" s="5" t="s">
        <v>188</v>
      </c>
      <c r="M214" s="6">
        <v>11.7</v>
      </c>
      <c r="N214">
        <f t="shared" si="6"/>
        <v>46</v>
      </c>
      <c r="O214" t="str">
        <f t="shared" si="7"/>
        <v>Very High</v>
      </c>
    </row>
    <row r="215" spans="1:15" x14ac:dyDescent="0.25">
      <c r="A215" s="5" t="s">
        <v>640</v>
      </c>
      <c r="B215" s="8" t="s">
        <v>376</v>
      </c>
      <c r="C215" s="8" t="s">
        <v>15</v>
      </c>
      <c r="D215" s="8" t="s">
        <v>28</v>
      </c>
      <c r="E215" s="8">
        <v>7.55</v>
      </c>
      <c r="F215" s="8">
        <v>72.599999999999994</v>
      </c>
      <c r="G215" s="8">
        <v>57.7</v>
      </c>
      <c r="H215" s="8">
        <v>0</v>
      </c>
      <c r="I215" s="8" t="s">
        <v>641</v>
      </c>
      <c r="J215" s="8">
        <v>2026</v>
      </c>
      <c r="K215" s="8" t="s">
        <v>30</v>
      </c>
      <c r="L215" s="8" t="s">
        <v>79</v>
      </c>
      <c r="M215" s="9"/>
      <c r="N215">
        <f t="shared" si="6"/>
        <v>268</v>
      </c>
      <c r="O215" t="str">
        <f t="shared" si="7"/>
        <v>Medium</v>
      </c>
    </row>
    <row r="216" spans="1:15" x14ac:dyDescent="0.25">
      <c r="A216" s="5" t="s">
        <v>642</v>
      </c>
      <c r="B216" s="5" t="s">
        <v>643</v>
      </c>
      <c r="C216" s="5" t="s">
        <v>54</v>
      </c>
      <c r="D216" s="5" t="s">
        <v>42</v>
      </c>
      <c r="E216" s="5">
        <v>9</v>
      </c>
      <c r="F216" s="5">
        <v>56.4</v>
      </c>
      <c r="G216" s="5">
        <v>50.9</v>
      </c>
      <c r="H216" s="5">
        <v>0</v>
      </c>
      <c r="I216" s="5" t="s">
        <v>644</v>
      </c>
      <c r="J216" s="5">
        <v>2026</v>
      </c>
      <c r="K216" s="5" t="s">
        <v>18</v>
      </c>
      <c r="L216" s="5" t="s">
        <v>157</v>
      </c>
      <c r="M216" s="6">
        <v>4</v>
      </c>
      <c r="N216">
        <f t="shared" si="6"/>
        <v>87</v>
      </c>
      <c r="O216" t="str">
        <f t="shared" si="7"/>
        <v>Very High</v>
      </c>
    </row>
    <row r="217" spans="1:15" x14ac:dyDescent="0.25">
      <c r="A217" s="5" t="s">
        <v>645</v>
      </c>
      <c r="B217" s="8" t="s">
        <v>646</v>
      </c>
      <c r="C217" s="8" t="s">
        <v>41</v>
      </c>
      <c r="D217" s="8" t="s">
        <v>28</v>
      </c>
      <c r="E217" s="8">
        <v>8.6199999999999992</v>
      </c>
      <c r="F217" s="8">
        <v>73.099999999999994</v>
      </c>
      <c r="G217" s="8">
        <v>80.099999999999994</v>
      </c>
      <c r="H217" s="8">
        <v>0</v>
      </c>
      <c r="I217" s="8" t="s">
        <v>647</v>
      </c>
      <c r="J217" s="8">
        <v>2027</v>
      </c>
      <c r="K217" s="8" t="s">
        <v>18</v>
      </c>
      <c r="L217" s="8" t="s">
        <v>518</v>
      </c>
      <c r="M217" s="9">
        <v>11</v>
      </c>
      <c r="N217">
        <f t="shared" si="6"/>
        <v>133</v>
      </c>
      <c r="O217" t="str">
        <f t="shared" si="7"/>
        <v>High</v>
      </c>
    </row>
    <row r="218" spans="1:15" x14ac:dyDescent="0.25">
      <c r="A218" s="5" t="s">
        <v>648</v>
      </c>
      <c r="B218" s="5" t="s">
        <v>649</v>
      </c>
      <c r="C218" s="5" t="s">
        <v>41</v>
      </c>
      <c r="D218" s="5" t="s">
        <v>209</v>
      </c>
      <c r="E218" s="5">
        <v>6.99</v>
      </c>
      <c r="F218" s="5">
        <v>59</v>
      </c>
      <c r="G218" s="5">
        <v>68.099999999999994</v>
      </c>
      <c r="H218" s="5">
        <v>0</v>
      </c>
      <c r="I218" s="5" t="s">
        <v>650</v>
      </c>
      <c r="J218" s="5">
        <v>2025</v>
      </c>
      <c r="K218" s="5" t="s">
        <v>30</v>
      </c>
      <c r="L218" s="5" t="s">
        <v>79</v>
      </c>
      <c r="M218" s="6"/>
      <c r="N218">
        <f t="shared" si="6"/>
        <v>340</v>
      </c>
      <c r="O218" t="str">
        <f t="shared" si="7"/>
        <v>Low</v>
      </c>
    </row>
    <row r="219" spans="1:15" x14ac:dyDescent="0.25">
      <c r="A219" s="5" t="s">
        <v>651</v>
      </c>
      <c r="B219" s="8" t="s">
        <v>87</v>
      </c>
      <c r="C219" s="8" t="s">
        <v>22</v>
      </c>
      <c r="D219" s="8" t="s">
        <v>16</v>
      </c>
      <c r="E219" s="8">
        <v>7.76</v>
      </c>
      <c r="F219" s="8">
        <v>62.2</v>
      </c>
      <c r="G219" s="8">
        <v>63.4</v>
      </c>
      <c r="H219" s="8">
        <v>0</v>
      </c>
      <c r="I219" s="8" t="s">
        <v>652</v>
      </c>
      <c r="J219" s="8">
        <v>2026</v>
      </c>
      <c r="K219" s="8" t="s">
        <v>34</v>
      </c>
      <c r="L219" s="8" t="s">
        <v>79</v>
      </c>
      <c r="M219" s="9"/>
      <c r="N219">
        <f t="shared" si="6"/>
        <v>235</v>
      </c>
      <c r="O219" t="str">
        <f t="shared" si="7"/>
        <v>Medium</v>
      </c>
    </row>
    <row r="220" spans="1:15" x14ac:dyDescent="0.25">
      <c r="A220" s="5" t="s">
        <v>653</v>
      </c>
      <c r="B220" s="5" t="s">
        <v>654</v>
      </c>
      <c r="C220" s="5" t="s">
        <v>54</v>
      </c>
      <c r="D220" s="5" t="s">
        <v>655</v>
      </c>
      <c r="E220" s="5">
        <v>7.28</v>
      </c>
      <c r="F220" s="5">
        <v>71</v>
      </c>
      <c r="G220" s="5">
        <v>58.6</v>
      </c>
      <c r="H220" s="5">
        <v>0</v>
      </c>
      <c r="I220" s="5" t="s">
        <v>656</v>
      </c>
      <c r="J220" s="5">
        <v>2026</v>
      </c>
      <c r="K220" s="5" t="s">
        <v>18</v>
      </c>
      <c r="L220" s="5" t="s">
        <v>157</v>
      </c>
      <c r="M220" s="6">
        <v>10.4</v>
      </c>
      <c r="N220">
        <f t="shared" si="6"/>
        <v>305</v>
      </c>
      <c r="O220" t="str">
        <f t="shared" si="7"/>
        <v>Medium</v>
      </c>
    </row>
    <row r="221" spans="1:15" x14ac:dyDescent="0.25">
      <c r="A221" s="5" t="s">
        <v>657</v>
      </c>
      <c r="B221" s="8" t="s">
        <v>257</v>
      </c>
      <c r="C221" s="8" t="s">
        <v>54</v>
      </c>
      <c r="D221" s="8" t="s">
        <v>169</v>
      </c>
      <c r="E221" s="8">
        <v>6.71</v>
      </c>
      <c r="F221" s="8">
        <v>57.6</v>
      </c>
      <c r="G221" s="8">
        <v>67.8</v>
      </c>
      <c r="H221" s="8">
        <v>0</v>
      </c>
      <c r="I221" s="8" t="s">
        <v>658</v>
      </c>
      <c r="J221" s="8">
        <v>2026</v>
      </c>
      <c r="K221" s="8" t="s">
        <v>34</v>
      </c>
      <c r="L221" s="8" t="s">
        <v>79</v>
      </c>
      <c r="M221" s="9"/>
      <c r="N221">
        <f t="shared" si="6"/>
        <v>373</v>
      </c>
      <c r="O221" t="str">
        <f t="shared" si="7"/>
        <v>Low</v>
      </c>
    </row>
    <row r="222" spans="1:15" x14ac:dyDescent="0.25">
      <c r="A222" s="5" t="s">
        <v>659</v>
      </c>
      <c r="B222" s="5" t="s">
        <v>660</v>
      </c>
      <c r="C222" s="5" t="s">
        <v>22</v>
      </c>
      <c r="D222" s="5" t="s">
        <v>16</v>
      </c>
      <c r="E222" s="5">
        <v>9.6</v>
      </c>
      <c r="F222" s="5">
        <v>73.900000000000006</v>
      </c>
      <c r="G222" s="5">
        <v>93.7</v>
      </c>
      <c r="H222" s="5">
        <v>0</v>
      </c>
      <c r="I222" s="5" t="s">
        <v>661</v>
      </c>
      <c r="J222" s="5">
        <v>2026</v>
      </c>
      <c r="K222" s="5" t="s">
        <v>34</v>
      </c>
      <c r="L222" s="5" t="s">
        <v>79</v>
      </c>
      <c r="M222" s="6"/>
      <c r="N222">
        <f t="shared" si="6"/>
        <v>21</v>
      </c>
      <c r="O222" t="str">
        <f t="shared" si="7"/>
        <v>Very High</v>
      </c>
    </row>
    <row r="223" spans="1:15" x14ac:dyDescent="0.25">
      <c r="A223" s="5" t="s">
        <v>662</v>
      </c>
      <c r="B223" s="8" t="s">
        <v>431</v>
      </c>
      <c r="C223" s="8" t="s">
        <v>41</v>
      </c>
      <c r="D223" s="8" t="s">
        <v>209</v>
      </c>
      <c r="E223" s="8">
        <v>9.44</v>
      </c>
      <c r="F223" s="8">
        <v>93.4</v>
      </c>
      <c r="G223" s="8">
        <v>53.1</v>
      </c>
      <c r="H223" s="8">
        <v>0</v>
      </c>
      <c r="I223" s="8" t="s">
        <v>663</v>
      </c>
      <c r="J223" s="8">
        <v>2027</v>
      </c>
      <c r="K223" s="8" t="s">
        <v>18</v>
      </c>
      <c r="L223" s="8" t="s">
        <v>157</v>
      </c>
      <c r="M223" s="9">
        <v>9.9</v>
      </c>
      <c r="N223">
        <f t="shared" si="6"/>
        <v>35</v>
      </c>
      <c r="O223" t="str">
        <f t="shared" si="7"/>
        <v>Very High</v>
      </c>
    </row>
    <row r="224" spans="1:15" x14ac:dyDescent="0.25">
      <c r="A224" s="5" t="s">
        <v>664</v>
      </c>
      <c r="B224" s="5" t="s">
        <v>665</v>
      </c>
      <c r="C224" s="5" t="s">
        <v>15</v>
      </c>
      <c r="D224" s="5" t="s">
        <v>28</v>
      </c>
      <c r="E224" s="5">
        <v>6.4</v>
      </c>
      <c r="F224" s="5">
        <v>78.8</v>
      </c>
      <c r="G224" s="5">
        <v>76.8</v>
      </c>
      <c r="H224" s="5">
        <v>2</v>
      </c>
      <c r="I224" s="5" t="s">
        <v>666</v>
      </c>
      <c r="J224" s="5">
        <v>2026</v>
      </c>
      <c r="K224" s="5" t="s">
        <v>34</v>
      </c>
      <c r="L224" s="5" t="s">
        <v>79</v>
      </c>
      <c r="M224" s="6"/>
      <c r="N224">
        <f t="shared" si="6"/>
        <v>416</v>
      </c>
      <c r="O224" t="str">
        <f t="shared" si="7"/>
        <v>Low</v>
      </c>
    </row>
    <row r="225" spans="1:15" x14ac:dyDescent="0.25">
      <c r="A225" s="5" t="s">
        <v>667</v>
      </c>
      <c r="B225" s="8" t="s">
        <v>27</v>
      </c>
      <c r="C225" s="8" t="s">
        <v>41</v>
      </c>
      <c r="D225" s="8" t="s">
        <v>28</v>
      </c>
      <c r="E225" s="8">
        <v>8.42</v>
      </c>
      <c r="F225" s="8">
        <v>79</v>
      </c>
      <c r="G225" s="8">
        <v>71.8</v>
      </c>
      <c r="H225" s="8">
        <v>0</v>
      </c>
      <c r="I225" s="8" t="s">
        <v>668</v>
      </c>
      <c r="J225" s="8">
        <v>2026</v>
      </c>
      <c r="K225" s="8" t="s">
        <v>18</v>
      </c>
      <c r="L225" s="8" t="s">
        <v>259</v>
      </c>
      <c r="M225" s="9">
        <v>13.1</v>
      </c>
      <c r="N225">
        <f t="shared" si="6"/>
        <v>151</v>
      </c>
      <c r="O225" t="str">
        <f t="shared" si="7"/>
        <v>High</v>
      </c>
    </row>
    <row r="226" spans="1:15" x14ac:dyDescent="0.25">
      <c r="A226" s="5" t="s">
        <v>669</v>
      </c>
      <c r="B226" s="5" t="s">
        <v>670</v>
      </c>
      <c r="C226" s="5" t="s">
        <v>15</v>
      </c>
      <c r="D226" s="5" t="s">
        <v>28</v>
      </c>
      <c r="E226" s="5">
        <v>9.07</v>
      </c>
      <c r="F226" s="5">
        <v>67.7</v>
      </c>
      <c r="G226" s="5">
        <v>62.9</v>
      </c>
      <c r="H226" s="5">
        <v>0</v>
      </c>
      <c r="I226" s="5" t="s">
        <v>671</v>
      </c>
      <c r="J226" s="5">
        <v>2026</v>
      </c>
      <c r="K226" s="5" t="s">
        <v>34</v>
      </c>
      <c r="L226" s="5" t="s">
        <v>79</v>
      </c>
      <c r="M226" s="6"/>
      <c r="N226">
        <f t="shared" si="6"/>
        <v>77</v>
      </c>
      <c r="O226" t="str">
        <f t="shared" si="7"/>
        <v>Very High</v>
      </c>
    </row>
    <row r="227" spans="1:15" x14ac:dyDescent="0.25">
      <c r="A227" s="5" t="s">
        <v>672</v>
      </c>
      <c r="B227" s="8" t="s">
        <v>673</v>
      </c>
      <c r="C227" s="8" t="s">
        <v>15</v>
      </c>
      <c r="D227" s="8" t="s">
        <v>16</v>
      </c>
      <c r="E227" s="8">
        <v>7.57</v>
      </c>
      <c r="F227" s="8">
        <v>93.4</v>
      </c>
      <c r="G227" s="8">
        <v>68.7</v>
      </c>
      <c r="H227" s="8">
        <v>0</v>
      </c>
      <c r="I227" s="8" t="s">
        <v>674</v>
      </c>
      <c r="J227" s="8">
        <v>2026</v>
      </c>
      <c r="K227" s="8" t="s">
        <v>34</v>
      </c>
      <c r="L227" s="8" t="s">
        <v>79</v>
      </c>
      <c r="M227" s="9"/>
      <c r="N227">
        <f t="shared" si="6"/>
        <v>265</v>
      </c>
      <c r="O227" t="str">
        <f t="shared" si="7"/>
        <v>Medium</v>
      </c>
    </row>
    <row r="228" spans="1:15" x14ac:dyDescent="0.25">
      <c r="A228" s="5" t="s">
        <v>675</v>
      </c>
      <c r="B228" s="5" t="s">
        <v>676</v>
      </c>
      <c r="C228" s="5" t="s">
        <v>15</v>
      </c>
      <c r="D228" s="5" t="s">
        <v>16</v>
      </c>
      <c r="E228" s="5">
        <v>6.57</v>
      </c>
      <c r="F228" s="5">
        <v>90</v>
      </c>
      <c r="G228" s="5">
        <v>88.5</v>
      </c>
      <c r="H228" s="5">
        <v>0</v>
      </c>
      <c r="I228" s="5" t="s">
        <v>677</v>
      </c>
      <c r="J228" s="5">
        <v>2026</v>
      </c>
      <c r="K228" s="5" t="s">
        <v>30</v>
      </c>
      <c r="L228" s="5" t="s">
        <v>79</v>
      </c>
      <c r="M228" s="6"/>
      <c r="N228">
        <f t="shared" si="6"/>
        <v>392</v>
      </c>
      <c r="O228" t="str">
        <f t="shared" si="7"/>
        <v>Low</v>
      </c>
    </row>
    <row r="229" spans="1:15" x14ac:dyDescent="0.25">
      <c r="A229" s="5" t="s">
        <v>678</v>
      </c>
      <c r="B229" s="8" t="s">
        <v>679</v>
      </c>
      <c r="C229" s="8" t="s">
        <v>15</v>
      </c>
      <c r="D229" s="8" t="s">
        <v>16</v>
      </c>
      <c r="E229" s="8">
        <v>7.29</v>
      </c>
      <c r="F229" s="8">
        <v>79.900000000000006</v>
      </c>
      <c r="G229" s="8">
        <v>58.2</v>
      </c>
      <c r="H229" s="8">
        <v>1</v>
      </c>
      <c r="I229" s="8" t="s">
        <v>680</v>
      </c>
      <c r="J229" s="8">
        <v>2026</v>
      </c>
      <c r="K229" s="8" t="s">
        <v>18</v>
      </c>
      <c r="L229" s="8" t="s">
        <v>115</v>
      </c>
      <c r="M229" s="9">
        <v>7.4</v>
      </c>
      <c r="N229">
        <f t="shared" si="6"/>
        <v>303</v>
      </c>
      <c r="O229" t="str">
        <f t="shared" si="7"/>
        <v>Medium</v>
      </c>
    </row>
    <row r="230" spans="1:15" x14ac:dyDescent="0.25">
      <c r="A230" s="5" t="s">
        <v>681</v>
      </c>
      <c r="B230" s="5" t="s">
        <v>682</v>
      </c>
      <c r="C230" s="5" t="s">
        <v>22</v>
      </c>
      <c r="D230" s="5" t="s">
        <v>16</v>
      </c>
      <c r="E230" s="5">
        <v>8.39</v>
      </c>
      <c r="F230" s="5">
        <v>83.5</v>
      </c>
      <c r="G230" s="5">
        <v>62.4</v>
      </c>
      <c r="H230" s="5">
        <v>0</v>
      </c>
      <c r="I230" s="5" t="s">
        <v>683</v>
      </c>
      <c r="J230" s="5">
        <v>2027</v>
      </c>
      <c r="K230" s="5" t="s">
        <v>30</v>
      </c>
      <c r="L230" s="5" t="s">
        <v>79</v>
      </c>
      <c r="M230" s="6"/>
      <c r="N230">
        <f t="shared" si="6"/>
        <v>158</v>
      </c>
      <c r="O230" t="str">
        <f t="shared" si="7"/>
        <v>High</v>
      </c>
    </row>
    <row r="231" spans="1:15" x14ac:dyDescent="0.25">
      <c r="A231" s="5" t="s">
        <v>684</v>
      </c>
      <c r="B231" s="8" t="s">
        <v>484</v>
      </c>
      <c r="C231" s="8" t="s">
        <v>22</v>
      </c>
      <c r="D231" s="8" t="s">
        <v>118</v>
      </c>
      <c r="E231" s="8">
        <v>8.23</v>
      </c>
      <c r="F231" s="8">
        <v>94.6</v>
      </c>
      <c r="G231" s="8">
        <v>82.8</v>
      </c>
      <c r="H231" s="8">
        <v>0</v>
      </c>
      <c r="I231" s="8" t="s">
        <v>685</v>
      </c>
      <c r="J231" s="8">
        <v>2026</v>
      </c>
      <c r="K231" s="8" t="s">
        <v>18</v>
      </c>
      <c r="L231" s="8" t="s">
        <v>95</v>
      </c>
      <c r="M231" s="9">
        <v>8.8000000000000007</v>
      </c>
      <c r="N231">
        <f t="shared" si="6"/>
        <v>178</v>
      </c>
      <c r="O231" t="str">
        <f t="shared" si="7"/>
        <v>High</v>
      </c>
    </row>
    <row r="232" spans="1:15" x14ac:dyDescent="0.25">
      <c r="A232" s="5" t="s">
        <v>686</v>
      </c>
      <c r="B232" s="5" t="s">
        <v>402</v>
      </c>
      <c r="C232" s="5" t="s">
        <v>15</v>
      </c>
      <c r="D232" s="5" t="s">
        <v>16</v>
      </c>
      <c r="E232" s="5">
        <v>7.85</v>
      </c>
      <c r="F232" s="5">
        <v>82.8</v>
      </c>
      <c r="G232" s="5">
        <v>88.8</v>
      </c>
      <c r="H232" s="5">
        <v>0</v>
      </c>
      <c r="I232" s="5" t="s">
        <v>687</v>
      </c>
      <c r="J232" s="5">
        <v>2026</v>
      </c>
      <c r="K232" s="5" t="s">
        <v>18</v>
      </c>
      <c r="L232" s="5" t="s">
        <v>138</v>
      </c>
      <c r="M232" s="6">
        <v>12.5</v>
      </c>
      <c r="N232">
        <f t="shared" si="6"/>
        <v>220</v>
      </c>
      <c r="O232" t="str">
        <f t="shared" si="7"/>
        <v>Medium</v>
      </c>
    </row>
    <row r="233" spans="1:15" x14ac:dyDescent="0.25">
      <c r="A233" s="5" t="s">
        <v>688</v>
      </c>
      <c r="B233" s="8" t="s">
        <v>396</v>
      </c>
      <c r="C233" s="8" t="s">
        <v>22</v>
      </c>
      <c r="D233" s="8" t="s">
        <v>16</v>
      </c>
      <c r="E233" s="8">
        <v>7.87</v>
      </c>
      <c r="F233" s="8">
        <v>65.099999999999994</v>
      </c>
      <c r="G233" s="8">
        <v>52.6</v>
      </c>
      <c r="H233" s="8">
        <v>1</v>
      </c>
      <c r="I233" s="8" t="s">
        <v>689</v>
      </c>
      <c r="J233" s="8">
        <v>2027</v>
      </c>
      <c r="K233" s="8" t="s">
        <v>18</v>
      </c>
      <c r="L233" s="8" t="s">
        <v>70</v>
      </c>
      <c r="M233" s="9">
        <v>7.6</v>
      </c>
      <c r="N233">
        <f t="shared" si="6"/>
        <v>216</v>
      </c>
      <c r="O233" t="str">
        <f t="shared" si="7"/>
        <v>Medium</v>
      </c>
    </row>
    <row r="234" spans="1:15" x14ac:dyDescent="0.25">
      <c r="A234" s="5" t="s">
        <v>690</v>
      </c>
      <c r="B234" s="5" t="s">
        <v>691</v>
      </c>
      <c r="C234" s="5" t="s">
        <v>22</v>
      </c>
      <c r="D234" s="5" t="s">
        <v>118</v>
      </c>
      <c r="E234" s="5">
        <v>8.7100000000000009</v>
      </c>
      <c r="F234" s="5">
        <v>64.3</v>
      </c>
      <c r="G234" s="5">
        <v>74.599999999999994</v>
      </c>
      <c r="H234" s="5">
        <v>1</v>
      </c>
      <c r="I234" s="5" t="s">
        <v>692</v>
      </c>
      <c r="J234" s="5">
        <v>2026</v>
      </c>
      <c r="K234" s="5" t="s">
        <v>34</v>
      </c>
      <c r="L234" s="5" t="s">
        <v>79</v>
      </c>
      <c r="M234" s="6"/>
      <c r="N234">
        <f t="shared" si="6"/>
        <v>121</v>
      </c>
      <c r="O234" t="str">
        <f t="shared" si="7"/>
        <v>High</v>
      </c>
    </row>
    <row r="235" spans="1:15" x14ac:dyDescent="0.25">
      <c r="A235" s="5" t="s">
        <v>693</v>
      </c>
      <c r="B235" s="8" t="s">
        <v>694</v>
      </c>
      <c r="C235" s="8" t="s">
        <v>22</v>
      </c>
      <c r="D235" s="8" t="s">
        <v>23</v>
      </c>
      <c r="E235" s="8">
        <v>6.83</v>
      </c>
      <c r="F235" s="8">
        <v>89</v>
      </c>
      <c r="G235" s="8">
        <v>85.1</v>
      </c>
      <c r="H235" s="8">
        <v>0</v>
      </c>
      <c r="I235" s="8" t="s">
        <v>695</v>
      </c>
      <c r="J235" s="8">
        <v>2026</v>
      </c>
      <c r="K235" s="8" t="s">
        <v>18</v>
      </c>
      <c r="L235" s="8" t="s">
        <v>25</v>
      </c>
      <c r="M235" s="9">
        <v>12.8</v>
      </c>
      <c r="N235">
        <f t="shared" si="6"/>
        <v>358</v>
      </c>
      <c r="O235" t="str">
        <f t="shared" si="7"/>
        <v>Low</v>
      </c>
    </row>
    <row r="236" spans="1:15" x14ac:dyDescent="0.25">
      <c r="A236" s="5" t="s">
        <v>696</v>
      </c>
      <c r="B236" s="5" t="s">
        <v>365</v>
      </c>
      <c r="C236" s="5" t="s">
        <v>41</v>
      </c>
      <c r="D236" s="5" t="s">
        <v>28</v>
      </c>
      <c r="E236" s="5">
        <v>9.1999999999999993</v>
      </c>
      <c r="F236" s="5">
        <v>74.8</v>
      </c>
      <c r="G236" s="5">
        <v>89.9</v>
      </c>
      <c r="H236" s="5">
        <v>0</v>
      </c>
      <c r="I236" s="5" t="s">
        <v>697</v>
      </c>
      <c r="J236" s="5">
        <v>2026</v>
      </c>
      <c r="K236" s="5" t="s">
        <v>34</v>
      </c>
      <c r="L236" s="5" t="s">
        <v>79</v>
      </c>
      <c r="M236" s="6"/>
      <c r="N236">
        <f t="shared" si="6"/>
        <v>63</v>
      </c>
      <c r="O236" t="str">
        <f t="shared" si="7"/>
        <v>Very High</v>
      </c>
    </row>
    <row r="237" spans="1:15" x14ac:dyDescent="0.25">
      <c r="A237" s="5" t="s">
        <v>698</v>
      </c>
      <c r="B237" s="8" t="s">
        <v>628</v>
      </c>
      <c r="C237" s="8" t="s">
        <v>54</v>
      </c>
      <c r="D237" s="8" t="s">
        <v>42</v>
      </c>
      <c r="E237" s="8">
        <v>9.2799999999999994</v>
      </c>
      <c r="F237" s="8">
        <v>61.3</v>
      </c>
      <c r="G237" s="8">
        <v>95.6</v>
      </c>
      <c r="H237" s="8">
        <v>0</v>
      </c>
      <c r="I237" s="8" t="s">
        <v>699</v>
      </c>
      <c r="J237" s="8">
        <v>2026</v>
      </c>
      <c r="K237" s="8" t="s">
        <v>34</v>
      </c>
      <c r="L237" s="8" t="s">
        <v>79</v>
      </c>
      <c r="M237" s="9"/>
      <c r="N237">
        <f t="shared" si="6"/>
        <v>48</v>
      </c>
      <c r="O237" t="str">
        <f t="shared" si="7"/>
        <v>Very High</v>
      </c>
    </row>
    <row r="238" spans="1:15" x14ac:dyDescent="0.25">
      <c r="A238" s="5" t="s">
        <v>700</v>
      </c>
      <c r="B238" s="5" t="s">
        <v>701</v>
      </c>
      <c r="C238" s="5" t="s">
        <v>15</v>
      </c>
      <c r="D238" s="5" t="s">
        <v>28</v>
      </c>
      <c r="E238" s="5">
        <v>6.89</v>
      </c>
      <c r="F238" s="5">
        <v>87</v>
      </c>
      <c r="G238" s="5">
        <v>57.8</v>
      </c>
      <c r="H238" s="5">
        <v>0</v>
      </c>
      <c r="I238" s="5" t="s">
        <v>702</v>
      </c>
      <c r="J238" s="5">
        <v>2026</v>
      </c>
      <c r="K238" s="5" t="s">
        <v>34</v>
      </c>
      <c r="L238" s="5" t="s">
        <v>79</v>
      </c>
      <c r="M238" s="6"/>
      <c r="N238">
        <f t="shared" si="6"/>
        <v>347</v>
      </c>
      <c r="O238" t="str">
        <f t="shared" si="7"/>
        <v>Low</v>
      </c>
    </row>
    <row r="239" spans="1:15" x14ac:dyDescent="0.25">
      <c r="A239" s="5" t="s">
        <v>703</v>
      </c>
      <c r="B239" s="8" t="s">
        <v>704</v>
      </c>
      <c r="C239" s="8" t="s">
        <v>22</v>
      </c>
      <c r="D239" s="8" t="s">
        <v>23</v>
      </c>
      <c r="E239" s="8">
        <v>7.76</v>
      </c>
      <c r="F239" s="8">
        <v>55.6</v>
      </c>
      <c r="G239" s="8">
        <v>64.8</v>
      </c>
      <c r="H239" s="8">
        <v>1</v>
      </c>
      <c r="I239" s="8" t="s">
        <v>705</v>
      </c>
      <c r="J239" s="8">
        <v>2026</v>
      </c>
      <c r="K239" s="8" t="s">
        <v>34</v>
      </c>
      <c r="L239" s="8" t="s">
        <v>79</v>
      </c>
      <c r="M239" s="9"/>
      <c r="N239">
        <f t="shared" si="6"/>
        <v>235</v>
      </c>
      <c r="O239" t="str">
        <f t="shared" si="7"/>
        <v>Medium</v>
      </c>
    </row>
    <row r="240" spans="1:15" x14ac:dyDescent="0.25">
      <c r="A240" s="5" t="s">
        <v>706</v>
      </c>
      <c r="B240" s="5" t="s">
        <v>707</v>
      </c>
      <c r="C240" s="5" t="s">
        <v>54</v>
      </c>
      <c r="D240" s="5" t="s">
        <v>169</v>
      </c>
      <c r="E240" s="5">
        <v>8.15</v>
      </c>
      <c r="F240" s="5">
        <v>62</v>
      </c>
      <c r="G240" s="5">
        <v>87.9</v>
      </c>
      <c r="H240" s="5">
        <v>0</v>
      </c>
      <c r="I240" s="5" t="s">
        <v>708</v>
      </c>
      <c r="J240" s="5">
        <v>2027</v>
      </c>
      <c r="K240" s="5" t="s">
        <v>34</v>
      </c>
      <c r="L240" s="5" t="s">
        <v>79</v>
      </c>
      <c r="M240" s="6"/>
      <c r="N240">
        <f t="shared" si="6"/>
        <v>187</v>
      </c>
      <c r="O240" t="str">
        <f t="shared" si="7"/>
        <v>High</v>
      </c>
    </row>
    <row r="241" spans="1:15" x14ac:dyDescent="0.25">
      <c r="A241" s="5" t="s">
        <v>709</v>
      </c>
      <c r="B241" s="8" t="s">
        <v>710</v>
      </c>
      <c r="C241" s="8" t="s">
        <v>41</v>
      </c>
      <c r="D241" s="8" t="s">
        <v>46</v>
      </c>
      <c r="E241" s="8">
        <v>6.46</v>
      </c>
      <c r="F241" s="8">
        <v>93.1</v>
      </c>
      <c r="G241" s="8">
        <v>87.4</v>
      </c>
      <c r="H241" s="8">
        <v>0</v>
      </c>
      <c r="I241" s="8" t="s">
        <v>711</v>
      </c>
      <c r="J241" s="8">
        <v>2026</v>
      </c>
      <c r="K241" s="8" t="s">
        <v>18</v>
      </c>
      <c r="L241" s="8" t="s">
        <v>138</v>
      </c>
      <c r="M241" s="9">
        <v>10.9</v>
      </c>
      <c r="N241">
        <f t="shared" si="6"/>
        <v>413</v>
      </c>
      <c r="O241" t="str">
        <f t="shared" si="7"/>
        <v>Low</v>
      </c>
    </row>
    <row r="242" spans="1:15" x14ac:dyDescent="0.25">
      <c r="A242" s="5" t="s">
        <v>712</v>
      </c>
      <c r="B242" s="5" t="s">
        <v>172</v>
      </c>
      <c r="C242" s="5" t="s">
        <v>54</v>
      </c>
      <c r="D242" s="5" t="s">
        <v>169</v>
      </c>
      <c r="E242" s="5">
        <v>6.82</v>
      </c>
      <c r="F242" s="5">
        <v>77.5</v>
      </c>
      <c r="G242" s="5">
        <v>52.2</v>
      </c>
      <c r="H242" s="5">
        <v>3</v>
      </c>
      <c r="I242" s="5" t="s">
        <v>584</v>
      </c>
      <c r="J242" s="5">
        <v>2026</v>
      </c>
      <c r="K242" s="5" t="s">
        <v>34</v>
      </c>
      <c r="L242" s="5" t="s">
        <v>79</v>
      </c>
      <c r="M242" s="6"/>
      <c r="N242">
        <f t="shared" si="6"/>
        <v>359</v>
      </c>
      <c r="O242" t="str">
        <f t="shared" si="7"/>
        <v>Low</v>
      </c>
    </row>
    <row r="243" spans="1:15" x14ac:dyDescent="0.25">
      <c r="A243" s="5" t="s">
        <v>713</v>
      </c>
      <c r="B243" s="8" t="s">
        <v>589</v>
      </c>
      <c r="C243" s="8" t="s">
        <v>41</v>
      </c>
      <c r="D243" s="8" t="s">
        <v>28</v>
      </c>
      <c r="E243" s="8">
        <v>8.61</v>
      </c>
      <c r="F243" s="8">
        <v>63.6</v>
      </c>
      <c r="G243" s="8">
        <v>81.5</v>
      </c>
      <c r="H243" s="8">
        <v>0</v>
      </c>
      <c r="I243" s="8" t="s">
        <v>714</v>
      </c>
      <c r="J243" s="8">
        <v>2026</v>
      </c>
      <c r="K243" s="8" t="s">
        <v>18</v>
      </c>
      <c r="L243" s="8" t="s">
        <v>38</v>
      </c>
      <c r="M243" s="9">
        <v>4.3</v>
      </c>
      <c r="N243">
        <f t="shared" si="6"/>
        <v>134</v>
      </c>
      <c r="O243" t="str">
        <f t="shared" si="7"/>
        <v>High</v>
      </c>
    </row>
    <row r="244" spans="1:15" x14ac:dyDescent="0.25">
      <c r="A244" s="5" t="s">
        <v>715</v>
      </c>
      <c r="B244" s="5" t="s">
        <v>716</v>
      </c>
      <c r="C244" s="5" t="s">
        <v>15</v>
      </c>
      <c r="D244" s="5" t="s">
        <v>28</v>
      </c>
      <c r="E244" s="5">
        <v>6.26</v>
      </c>
      <c r="F244" s="5">
        <v>59.5</v>
      </c>
      <c r="G244" s="5">
        <v>59.1</v>
      </c>
      <c r="H244" s="5">
        <v>0</v>
      </c>
      <c r="I244" s="5" t="s">
        <v>717</v>
      </c>
      <c r="J244" s="5">
        <v>2026</v>
      </c>
      <c r="K244" s="5" t="s">
        <v>18</v>
      </c>
      <c r="L244" s="5" t="s">
        <v>518</v>
      </c>
      <c r="M244" s="6">
        <v>8.6</v>
      </c>
      <c r="N244">
        <f t="shared" si="6"/>
        <v>426</v>
      </c>
      <c r="O244" t="str">
        <f t="shared" si="7"/>
        <v>Low</v>
      </c>
    </row>
    <row r="245" spans="1:15" x14ac:dyDescent="0.25">
      <c r="A245" s="5" t="s">
        <v>718</v>
      </c>
      <c r="B245" s="8" t="s">
        <v>719</v>
      </c>
      <c r="C245" s="8" t="s">
        <v>41</v>
      </c>
      <c r="D245" s="8" t="s">
        <v>46</v>
      </c>
      <c r="E245" s="8">
        <v>5.81</v>
      </c>
      <c r="F245" s="8">
        <v>83.2</v>
      </c>
      <c r="G245" s="8">
        <v>91.7</v>
      </c>
      <c r="H245" s="8">
        <v>1</v>
      </c>
      <c r="I245" s="8" t="s">
        <v>720</v>
      </c>
      <c r="J245" s="8">
        <v>2025</v>
      </c>
      <c r="K245" s="8" t="s">
        <v>34</v>
      </c>
      <c r="L245" s="8" t="s">
        <v>79</v>
      </c>
      <c r="M245" s="9"/>
      <c r="N245">
        <f t="shared" si="6"/>
        <v>478</v>
      </c>
      <c r="O245" t="str">
        <f t="shared" si="7"/>
        <v>Low</v>
      </c>
    </row>
    <row r="246" spans="1:15" x14ac:dyDescent="0.25">
      <c r="A246" s="5" t="s">
        <v>721</v>
      </c>
      <c r="B246" s="5" t="s">
        <v>722</v>
      </c>
      <c r="C246" s="5" t="s">
        <v>41</v>
      </c>
      <c r="D246" s="5" t="s">
        <v>28</v>
      </c>
      <c r="E246" s="5">
        <v>6</v>
      </c>
      <c r="F246" s="5">
        <v>89.2</v>
      </c>
      <c r="G246" s="5">
        <v>90.2</v>
      </c>
      <c r="H246" s="5">
        <v>1</v>
      </c>
      <c r="I246" s="5" t="s">
        <v>723</v>
      </c>
      <c r="J246" s="5">
        <v>2027</v>
      </c>
      <c r="K246" s="5" t="s">
        <v>34</v>
      </c>
      <c r="L246" s="5" t="s">
        <v>79</v>
      </c>
      <c r="M246" s="6"/>
      <c r="N246">
        <f t="shared" si="6"/>
        <v>457</v>
      </c>
      <c r="O246" t="str">
        <f t="shared" si="7"/>
        <v>Low</v>
      </c>
    </row>
    <row r="247" spans="1:15" x14ac:dyDescent="0.25">
      <c r="A247" s="5" t="s">
        <v>724</v>
      </c>
      <c r="B247" s="8" t="s">
        <v>146</v>
      </c>
      <c r="C247" s="8" t="s">
        <v>22</v>
      </c>
      <c r="D247" s="8" t="s">
        <v>118</v>
      </c>
      <c r="E247" s="8">
        <v>7.23</v>
      </c>
      <c r="F247" s="8">
        <v>73.400000000000006</v>
      </c>
      <c r="G247" s="8">
        <v>78.599999999999994</v>
      </c>
      <c r="H247" s="8">
        <v>1</v>
      </c>
      <c r="I247" s="8" t="s">
        <v>568</v>
      </c>
      <c r="J247" s="8">
        <v>2026</v>
      </c>
      <c r="K247" s="8" t="s">
        <v>34</v>
      </c>
      <c r="L247" s="8" t="s">
        <v>79</v>
      </c>
      <c r="M247" s="9"/>
      <c r="N247">
        <f t="shared" si="6"/>
        <v>309</v>
      </c>
      <c r="O247" t="str">
        <f t="shared" si="7"/>
        <v>Medium</v>
      </c>
    </row>
    <row r="248" spans="1:15" x14ac:dyDescent="0.25">
      <c r="A248" s="5" t="s">
        <v>725</v>
      </c>
      <c r="B248" s="5" t="s">
        <v>554</v>
      </c>
      <c r="C248" s="5" t="s">
        <v>54</v>
      </c>
      <c r="D248" s="5" t="s">
        <v>46</v>
      </c>
      <c r="E248" s="5">
        <v>8.4</v>
      </c>
      <c r="F248" s="5">
        <v>88.5</v>
      </c>
      <c r="G248" s="5">
        <v>55.2</v>
      </c>
      <c r="H248" s="5">
        <v>0</v>
      </c>
      <c r="I248" s="5" t="s">
        <v>726</v>
      </c>
      <c r="J248" s="5">
        <v>2026</v>
      </c>
      <c r="K248" s="5" t="s">
        <v>30</v>
      </c>
      <c r="L248" s="5" t="s">
        <v>79</v>
      </c>
      <c r="M248" s="6"/>
      <c r="N248">
        <f t="shared" si="6"/>
        <v>156</v>
      </c>
      <c r="O248" t="str">
        <f t="shared" si="7"/>
        <v>High</v>
      </c>
    </row>
    <row r="249" spans="1:15" x14ac:dyDescent="0.25">
      <c r="A249" s="5" t="s">
        <v>727</v>
      </c>
      <c r="B249" s="8" t="s">
        <v>728</v>
      </c>
      <c r="C249" s="8" t="s">
        <v>22</v>
      </c>
      <c r="D249" s="8" t="s">
        <v>23</v>
      </c>
      <c r="E249" s="8">
        <v>7.32</v>
      </c>
      <c r="F249" s="8">
        <v>70.099999999999994</v>
      </c>
      <c r="G249" s="8">
        <v>51.3</v>
      </c>
      <c r="H249" s="8">
        <v>0</v>
      </c>
      <c r="I249" s="8" t="s">
        <v>729</v>
      </c>
      <c r="J249" s="8">
        <v>2027</v>
      </c>
      <c r="K249" s="8" t="s">
        <v>34</v>
      </c>
      <c r="L249" s="8" t="s">
        <v>79</v>
      </c>
      <c r="M249" s="9"/>
      <c r="N249">
        <f t="shared" si="6"/>
        <v>300</v>
      </c>
      <c r="O249" t="str">
        <f t="shared" si="7"/>
        <v>Medium</v>
      </c>
    </row>
    <row r="250" spans="1:15" x14ac:dyDescent="0.25">
      <c r="A250" s="5" t="s">
        <v>730</v>
      </c>
      <c r="B250" s="5" t="s">
        <v>347</v>
      </c>
      <c r="C250" s="5" t="s">
        <v>15</v>
      </c>
      <c r="D250" s="5" t="s">
        <v>62</v>
      </c>
      <c r="E250" s="5">
        <v>9.27</v>
      </c>
      <c r="F250" s="5">
        <v>77</v>
      </c>
      <c r="G250" s="5">
        <v>84.2</v>
      </c>
      <c r="H250" s="5">
        <v>0</v>
      </c>
      <c r="I250" s="5" t="s">
        <v>731</v>
      </c>
      <c r="J250" s="5">
        <v>2026</v>
      </c>
      <c r="K250" s="5" t="s">
        <v>34</v>
      </c>
      <c r="L250" s="5" t="s">
        <v>79</v>
      </c>
      <c r="M250" s="6"/>
      <c r="N250">
        <f t="shared" si="6"/>
        <v>51</v>
      </c>
      <c r="O250" t="str">
        <f t="shared" si="7"/>
        <v>Very High</v>
      </c>
    </row>
    <row r="251" spans="1:15" x14ac:dyDescent="0.25">
      <c r="A251" s="5" t="s">
        <v>732</v>
      </c>
      <c r="B251" s="8" t="s">
        <v>733</v>
      </c>
      <c r="C251" s="8" t="s">
        <v>22</v>
      </c>
      <c r="D251" s="8" t="s">
        <v>23</v>
      </c>
      <c r="E251" s="8">
        <v>9.3699999999999992</v>
      </c>
      <c r="F251" s="8">
        <v>80.7</v>
      </c>
      <c r="G251" s="8">
        <v>50.5</v>
      </c>
      <c r="H251" s="8">
        <v>2</v>
      </c>
      <c r="I251" s="8" t="s">
        <v>734</v>
      </c>
      <c r="J251" s="8">
        <v>2026</v>
      </c>
      <c r="K251" s="8" t="s">
        <v>18</v>
      </c>
      <c r="L251" s="8" t="s">
        <v>188</v>
      </c>
      <c r="M251" s="9">
        <v>3.7</v>
      </c>
      <c r="N251">
        <f t="shared" si="6"/>
        <v>44</v>
      </c>
      <c r="O251" t="str">
        <f t="shared" si="7"/>
        <v>Very High</v>
      </c>
    </row>
    <row r="252" spans="1:15" x14ac:dyDescent="0.25">
      <c r="A252" s="5" t="s">
        <v>735</v>
      </c>
      <c r="B252" s="5" t="s">
        <v>736</v>
      </c>
      <c r="C252" s="5" t="s">
        <v>54</v>
      </c>
      <c r="D252" s="5" t="s">
        <v>46</v>
      </c>
      <c r="E252" s="5">
        <v>9.07</v>
      </c>
      <c r="F252" s="5">
        <v>58.3</v>
      </c>
      <c r="G252" s="5">
        <v>70.400000000000006</v>
      </c>
      <c r="H252" s="5">
        <v>0</v>
      </c>
      <c r="I252" s="5" t="s">
        <v>582</v>
      </c>
      <c r="J252" s="5">
        <v>2026</v>
      </c>
      <c r="K252" s="5" t="s">
        <v>30</v>
      </c>
      <c r="L252" s="5" t="s">
        <v>79</v>
      </c>
      <c r="M252" s="6"/>
      <c r="N252">
        <f t="shared" si="6"/>
        <v>77</v>
      </c>
      <c r="O252" t="str">
        <f t="shared" si="7"/>
        <v>Very High</v>
      </c>
    </row>
    <row r="253" spans="1:15" x14ac:dyDescent="0.25">
      <c r="A253" s="5" t="s">
        <v>737</v>
      </c>
      <c r="B253" s="8" t="s">
        <v>738</v>
      </c>
      <c r="C253" s="8" t="s">
        <v>15</v>
      </c>
      <c r="D253" s="8" t="s">
        <v>28</v>
      </c>
      <c r="E253" s="8">
        <v>7.45</v>
      </c>
      <c r="F253" s="8">
        <v>78.400000000000006</v>
      </c>
      <c r="G253" s="8">
        <v>50</v>
      </c>
      <c r="H253" s="8">
        <v>0</v>
      </c>
      <c r="I253" s="8" t="s">
        <v>739</v>
      </c>
      <c r="J253" s="8">
        <v>2026</v>
      </c>
      <c r="K253" s="8" t="s">
        <v>34</v>
      </c>
      <c r="L253" s="8" t="s">
        <v>79</v>
      </c>
      <c r="M253" s="9"/>
      <c r="N253">
        <f t="shared" si="6"/>
        <v>280</v>
      </c>
      <c r="O253" t="str">
        <f t="shared" si="7"/>
        <v>Medium</v>
      </c>
    </row>
    <row r="254" spans="1:15" x14ac:dyDescent="0.25">
      <c r="A254" s="5" t="s">
        <v>740</v>
      </c>
      <c r="B254" s="5" t="s">
        <v>741</v>
      </c>
      <c r="C254" s="5" t="s">
        <v>22</v>
      </c>
      <c r="D254" s="5" t="s">
        <v>118</v>
      </c>
      <c r="E254" s="5">
        <v>7.13</v>
      </c>
      <c r="F254" s="5">
        <v>87.2</v>
      </c>
      <c r="G254" s="5">
        <v>77.599999999999994</v>
      </c>
      <c r="H254" s="5">
        <v>0</v>
      </c>
      <c r="I254" s="5" t="s">
        <v>742</v>
      </c>
      <c r="J254" s="5">
        <v>2026</v>
      </c>
      <c r="K254" s="5" t="s">
        <v>18</v>
      </c>
      <c r="L254" s="5" t="s">
        <v>138</v>
      </c>
      <c r="M254" s="6">
        <v>12.2</v>
      </c>
      <c r="N254">
        <f t="shared" si="6"/>
        <v>318</v>
      </c>
      <c r="O254" t="str">
        <f t="shared" si="7"/>
        <v>Medium</v>
      </c>
    </row>
    <row r="255" spans="1:15" x14ac:dyDescent="0.25">
      <c r="A255" s="5" t="s">
        <v>743</v>
      </c>
      <c r="B255" s="8" t="s">
        <v>744</v>
      </c>
      <c r="C255" s="8" t="s">
        <v>41</v>
      </c>
      <c r="D255" s="8" t="s">
        <v>42</v>
      </c>
      <c r="E255" s="8">
        <v>5.98</v>
      </c>
      <c r="F255" s="8">
        <v>61.9</v>
      </c>
      <c r="G255" s="8">
        <v>56.5</v>
      </c>
      <c r="H255" s="8">
        <v>0</v>
      </c>
      <c r="I255" s="8" t="s">
        <v>745</v>
      </c>
      <c r="J255" s="8">
        <v>2027</v>
      </c>
      <c r="K255" s="8" t="s">
        <v>34</v>
      </c>
      <c r="L255" s="8" t="s">
        <v>79</v>
      </c>
      <c r="M255" s="9"/>
      <c r="N255">
        <f t="shared" si="6"/>
        <v>461</v>
      </c>
      <c r="O255" t="str">
        <f t="shared" si="7"/>
        <v>Low</v>
      </c>
    </row>
    <row r="256" spans="1:15" x14ac:dyDescent="0.25">
      <c r="A256" s="5" t="s">
        <v>746</v>
      </c>
      <c r="B256" s="5" t="s">
        <v>747</v>
      </c>
      <c r="C256" s="5" t="s">
        <v>41</v>
      </c>
      <c r="D256" s="5" t="s">
        <v>42</v>
      </c>
      <c r="E256" s="5">
        <v>8.83</v>
      </c>
      <c r="F256" s="5">
        <v>57</v>
      </c>
      <c r="G256" s="5">
        <v>79.099999999999994</v>
      </c>
      <c r="H256" s="5">
        <v>0</v>
      </c>
      <c r="I256" s="5" t="s">
        <v>582</v>
      </c>
      <c r="J256" s="5">
        <v>2026</v>
      </c>
      <c r="K256" s="5" t="s">
        <v>34</v>
      </c>
      <c r="L256" s="5" t="s">
        <v>79</v>
      </c>
      <c r="M256" s="6"/>
      <c r="N256">
        <f t="shared" si="6"/>
        <v>99</v>
      </c>
      <c r="O256" t="str">
        <f t="shared" si="7"/>
        <v>High</v>
      </c>
    </row>
    <row r="257" spans="1:15" x14ac:dyDescent="0.25">
      <c r="A257" s="5" t="s">
        <v>748</v>
      </c>
      <c r="B257" s="8" t="s">
        <v>749</v>
      </c>
      <c r="C257" s="8" t="s">
        <v>15</v>
      </c>
      <c r="D257" s="8" t="s">
        <v>62</v>
      </c>
      <c r="E257" s="8">
        <v>9.5399999999999991</v>
      </c>
      <c r="F257" s="8">
        <v>90.2</v>
      </c>
      <c r="G257" s="8">
        <v>72.2</v>
      </c>
      <c r="H257" s="8">
        <v>0</v>
      </c>
      <c r="I257" s="8" t="s">
        <v>750</v>
      </c>
      <c r="J257" s="8">
        <v>2025</v>
      </c>
      <c r="K257" s="8" t="s">
        <v>30</v>
      </c>
      <c r="L257" s="8" t="s">
        <v>79</v>
      </c>
      <c r="M257" s="9"/>
      <c r="N257">
        <f t="shared" si="6"/>
        <v>30</v>
      </c>
      <c r="O257" t="str">
        <f t="shared" si="7"/>
        <v>Very High</v>
      </c>
    </row>
    <row r="258" spans="1:15" x14ac:dyDescent="0.25">
      <c r="A258" s="5" t="s">
        <v>751</v>
      </c>
      <c r="B258" s="5" t="s">
        <v>365</v>
      </c>
      <c r="C258" s="5" t="s">
        <v>54</v>
      </c>
      <c r="D258" s="5" t="s">
        <v>46</v>
      </c>
      <c r="E258" s="5">
        <v>9.7200000000000006</v>
      </c>
      <c r="F258" s="5">
        <v>93.5</v>
      </c>
      <c r="G258" s="5">
        <v>85.1</v>
      </c>
      <c r="H258" s="5">
        <v>0</v>
      </c>
      <c r="I258" s="5" t="s">
        <v>752</v>
      </c>
      <c r="J258" s="5">
        <v>2026</v>
      </c>
      <c r="K258" s="5" t="s">
        <v>30</v>
      </c>
      <c r="L258" s="5" t="s">
        <v>79</v>
      </c>
      <c r="M258" s="6"/>
      <c r="N258">
        <f t="shared" si="6"/>
        <v>5</v>
      </c>
      <c r="O258" t="str">
        <f t="shared" si="7"/>
        <v>Very High</v>
      </c>
    </row>
    <row r="259" spans="1:15" x14ac:dyDescent="0.25">
      <c r="A259" s="5" t="s">
        <v>753</v>
      </c>
      <c r="B259" s="8" t="s">
        <v>754</v>
      </c>
      <c r="C259" s="8" t="s">
        <v>41</v>
      </c>
      <c r="D259" s="8" t="s">
        <v>46</v>
      </c>
      <c r="E259" s="8">
        <v>6.6</v>
      </c>
      <c r="F259" s="8">
        <v>81.2</v>
      </c>
      <c r="G259" s="8">
        <v>63.4</v>
      </c>
      <c r="H259" s="8">
        <v>0</v>
      </c>
      <c r="I259" s="8" t="s">
        <v>755</v>
      </c>
      <c r="J259" s="8">
        <v>2026</v>
      </c>
      <c r="K259" s="8" t="s">
        <v>30</v>
      </c>
      <c r="L259" s="8" t="s">
        <v>79</v>
      </c>
      <c r="M259" s="9"/>
      <c r="N259">
        <f t="shared" ref="N259:N322" si="8">RANK(E259,$E$2:$E$481,0)</f>
        <v>387</v>
      </c>
      <c r="O259" t="str">
        <f t="shared" ref="O259:O322" si="9">IF(E259&gt;=9,"Very High",IF(E259&gt;=8,"High",IF(E259&gt;=7,"Medium","Low")))</f>
        <v>Low</v>
      </c>
    </row>
    <row r="260" spans="1:15" x14ac:dyDescent="0.25">
      <c r="A260" s="5" t="s">
        <v>756</v>
      </c>
      <c r="B260" s="5" t="s">
        <v>757</v>
      </c>
      <c r="C260" s="5" t="s">
        <v>54</v>
      </c>
      <c r="D260" s="5" t="s">
        <v>169</v>
      </c>
      <c r="E260" s="5">
        <v>8.7899999999999991</v>
      </c>
      <c r="F260" s="5">
        <v>90.3</v>
      </c>
      <c r="G260" s="5">
        <v>63.2</v>
      </c>
      <c r="H260" s="5">
        <v>1</v>
      </c>
      <c r="I260" s="5" t="s">
        <v>758</v>
      </c>
      <c r="J260" s="5">
        <v>2025</v>
      </c>
      <c r="K260" s="5" t="s">
        <v>18</v>
      </c>
      <c r="L260" s="5" t="s">
        <v>95</v>
      </c>
      <c r="M260" s="6">
        <v>3.8</v>
      </c>
      <c r="N260">
        <f t="shared" si="8"/>
        <v>108</v>
      </c>
      <c r="O260" t="str">
        <f t="shared" si="9"/>
        <v>High</v>
      </c>
    </row>
    <row r="261" spans="1:15" x14ac:dyDescent="0.25">
      <c r="A261" s="5" t="s">
        <v>759</v>
      </c>
      <c r="B261" s="8" t="s">
        <v>36</v>
      </c>
      <c r="C261" s="8" t="s">
        <v>41</v>
      </c>
      <c r="D261" s="8" t="s">
        <v>209</v>
      </c>
      <c r="E261" s="8">
        <v>6.39</v>
      </c>
      <c r="F261" s="8">
        <v>57.6</v>
      </c>
      <c r="G261" s="8">
        <v>86.1</v>
      </c>
      <c r="H261" s="8">
        <v>0</v>
      </c>
      <c r="I261" s="8" t="s">
        <v>760</v>
      </c>
      <c r="J261" s="8">
        <v>2025</v>
      </c>
      <c r="K261" s="8" t="s">
        <v>30</v>
      </c>
      <c r="L261" s="8" t="s">
        <v>79</v>
      </c>
      <c r="M261" s="9"/>
      <c r="N261">
        <f t="shared" si="8"/>
        <v>417</v>
      </c>
      <c r="O261" t="str">
        <f t="shared" si="9"/>
        <v>Low</v>
      </c>
    </row>
    <row r="262" spans="1:15" x14ac:dyDescent="0.25">
      <c r="A262" s="5" t="s">
        <v>761</v>
      </c>
      <c r="B262" s="5" t="s">
        <v>762</v>
      </c>
      <c r="C262" s="5" t="s">
        <v>54</v>
      </c>
      <c r="D262" s="5" t="s">
        <v>42</v>
      </c>
      <c r="E262" s="5">
        <v>7.84</v>
      </c>
      <c r="F262" s="5">
        <v>88.5</v>
      </c>
      <c r="G262" s="5">
        <v>82</v>
      </c>
      <c r="H262" s="5">
        <v>0</v>
      </c>
      <c r="I262" s="5" t="s">
        <v>763</v>
      </c>
      <c r="J262" s="5">
        <v>2026</v>
      </c>
      <c r="K262" s="5" t="s">
        <v>30</v>
      </c>
      <c r="L262" s="5" t="s">
        <v>79</v>
      </c>
      <c r="M262" s="6"/>
      <c r="N262">
        <f t="shared" si="8"/>
        <v>222</v>
      </c>
      <c r="O262" t="str">
        <f t="shared" si="9"/>
        <v>Medium</v>
      </c>
    </row>
    <row r="263" spans="1:15" x14ac:dyDescent="0.25">
      <c r="A263" s="5" t="s">
        <v>764</v>
      </c>
      <c r="B263" s="8" t="s">
        <v>765</v>
      </c>
      <c r="C263" s="8" t="s">
        <v>15</v>
      </c>
      <c r="D263" s="8" t="s">
        <v>16</v>
      </c>
      <c r="E263" s="8">
        <v>8.77</v>
      </c>
      <c r="F263" s="8">
        <v>63.5</v>
      </c>
      <c r="G263" s="8">
        <v>90</v>
      </c>
      <c r="H263" s="8">
        <v>1</v>
      </c>
      <c r="I263" s="8" t="s">
        <v>766</v>
      </c>
      <c r="J263" s="8">
        <v>2027</v>
      </c>
      <c r="K263" s="8" t="s">
        <v>18</v>
      </c>
      <c r="L263" s="8" t="s">
        <v>308</v>
      </c>
      <c r="M263" s="9">
        <v>13.8</v>
      </c>
      <c r="N263">
        <f t="shared" si="8"/>
        <v>112</v>
      </c>
      <c r="O263" t="str">
        <f t="shared" si="9"/>
        <v>High</v>
      </c>
    </row>
    <row r="264" spans="1:15" x14ac:dyDescent="0.25">
      <c r="A264" s="5" t="s">
        <v>767</v>
      </c>
      <c r="B264" s="5" t="s">
        <v>768</v>
      </c>
      <c r="C264" s="5" t="s">
        <v>22</v>
      </c>
      <c r="D264" s="5" t="s">
        <v>23</v>
      </c>
      <c r="E264" s="5">
        <v>7.86</v>
      </c>
      <c r="F264" s="5">
        <v>70.8</v>
      </c>
      <c r="G264" s="5">
        <v>69.7</v>
      </c>
      <c r="H264" s="5">
        <v>0</v>
      </c>
      <c r="I264" s="5" t="s">
        <v>769</v>
      </c>
      <c r="J264" s="5">
        <v>2026</v>
      </c>
      <c r="K264" s="5" t="s">
        <v>34</v>
      </c>
      <c r="L264" s="5" t="s">
        <v>79</v>
      </c>
      <c r="M264" s="6"/>
      <c r="N264">
        <f t="shared" si="8"/>
        <v>218</v>
      </c>
      <c r="O264" t="str">
        <f t="shared" si="9"/>
        <v>Medium</v>
      </c>
    </row>
    <row r="265" spans="1:15" x14ac:dyDescent="0.25">
      <c r="A265" s="5" t="s">
        <v>770</v>
      </c>
      <c r="B265" s="8" t="s">
        <v>504</v>
      </c>
      <c r="C265" s="8" t="s">
        <v>41</v>
      </c>
      <c r="D265" s="8" t="s">
        <v>42</v>
      </c>
      <c r="E265" s="8">
        <v>8.89</v>
      </c>
      <c r="F265" s="8">
        <v>81.3</v>
      </c>
      <c r="G265" s="8">
        <v>88.8</v>
      </c>
      <c r="H265" s="8">
        <v>0</v>
      </c>
      <c r="I265" s="8" t="s">
        <v>771</v>
      </c>
      <c r="J265" s="8">
        <v>2026</v>
      </c>
      <c r="K265" s="8" t="s">
        <v>34</v>
      </c>
      <c r="L265" s="8" t="s">
        <v>79</v>
      </c>
      <c r="M265" s="9"/>
      <c r="N265">
        <f t="shared" si="8"/>
        <v>92</v>
      </c>
      <c r="O265" t="str">
        <f t="shared" si="9"/>
        <v>High</v>
      </c>
    </row>
    <row r="266" spans="1:15" x14ac:dyDescent="0.25">
      <c r="A266" s="5" t="s">
        <v>772</v>
      </c>
      <c r="B266" s="5" t="s">
        <v>248</v>
      </c>
      <c r="C266" s="5" t="s">
        <v>54</v>
      </c>
      <c r="D266" s="5" t="s">
        <v>42</v>
      </c>
      <c r="E266" s="5">
        <v>7.2</v>
      </c>
      <c r="F266" s="5">
        <v>92.1</v>
      </c>
      <c r="G266" s="5">
        <v>80.5</v>
      </c>
      <c r="H266" s="5">
        <v>0</v>
      </c>
      <c r="I266" s="5" t="s">
        <v>773</v>
      </c>
      <c r="J266" s="5">
        <v>2026</v>
      </c>
      <c r="K266" s="5" t="s">
        <v>34</v>
      </c>
      <c r="L266" s="5" t="s">
        <v>79</v>
      </c>
      <c r="M266" s="6"/>
      <c r="N266">
        <f t="shared" si="8"/>
        <v>315</v>
      </c>
      <c r="O266" t="str">
        <f t="shared" si="9"/>
        <v>Medium</v>
      </c>
    </row>
    <row r="267" spans="1:15" x14ac:dyDescent="0.25">
      <c r="A267" s="5" t="s">
        <v>774</v>
      </c>
      <c r="B267" s="8" t="s">
        <v>775</v>
      </c>
      <c r="C267" s="8" t="s">
        <v>54</v>
      </c>
      <c r="D267" s="8" t="s">
        <v>42</v>
      </c>
      <c r="E267" s="8">
        <v>9.42</v>
      </c>
      <c r="F267" s="8">
        <v>80.8</v>
      </c>
      <c r="G267" s="8">
        <v>78.599999999999994</v>
      </c>
      <c r="H267" s="8">
        <v>2</v>
      </c>
      <c r="I267" s="8" t="s">
        <v>776</v>
      </c>
      <c r="J267" s="8">
        <v>2026</v>
      </c>
      <c r="K267" s="8" t="s">
        <v>18</v>
      </c>
      <c r="L267" s="8" t="s">
        <v>38</v>
      </c>
      <c r="M267" s="9">
        <v>8.8000000000000007</v>
      </c>
      <c r="N267">
        <f t="shared" si="8"/>
        <v>37</v>
      </c>
      <c r="O267" t="str">
        <f t="shared" si="9"/>
        <v>Very High</v>
      </c>
    </row>
    <row r="268" spans="1:15" x14ac:dyDescent="0.25">
      <c r="A268" s="5" t="s">
        <v>777</v>
      </c>
      <c r="B268" s="5" t="s">
        <v>778</v>
      </c>
      <c r="C268" s="5" t="s">
        <v>54</v>
      </c>
      <c r="D268" s="5" t="s">
        <v>46</v>
      </c>
      <c r="E268" s="5">
        <v>5.98</v>
      </c>
      <c r="F268" s="5">
        <v>92.7</v>
      </c>
      <c r="G268" s="5">
        <v>58.9</v>
      </c>
      <c r="H268" s="5">
        <v>0</v>
      </c>
      <c r="I268" s="5" t="s">
        <v>779</v>
      </c>
      <c r="J268" s="5">
        <v>2026</v>
      </c>
      <c r="K268" s="5" t="s">
        <v>34</v>
      </c>
      <c r="L268" s="5" t="s">
        <v>79</v>
      </c>
      <c r="M268" s="6"/>
      <c r="N268">
        <f t="shared" si="8"/>
        <v>461</v>
      </c>
      <c r="O268" t="str">
        <f t="shared" si="9"/>
        <v>Low</v>
      </c>
    </row>
    <row r="269" spans="1:15" x14ac:dyDescent="0.25">
      <c r="A269" s="5" t="s">
        <v>780</v>
      </c>
      <c r="B269" s="8" t="s">
        <v>781</v>
      </c>
      <c r="C269" s="8" t="s">
        <v>54</v>
      </c>
      <c r="D269" s="8" t="s">
        <v>655</v>
      </c>
      <c r="E269" s="8">
        <v>6.62</v>
      </c>
      <c r="F269" s="8">
        <v>89.8</v>
      </c>
      <c r="G269" s="8">
        <v>90.4</v>
      </c>
      <c r="H269" s="8">
        <v>0</v>
      </c>
      <c r="I269" s="8" t="s">
        <v>782</v>
      </c>
      <c r="J269" s="8">
        <v>2026</v>
      </c>
      <c r="K269" s="8" t="s">
        <v>18</v>
      </c>
      <c r="L269" s="8" t="s">
        <v>115</v>
      </c>
      <c r="M269" s="9">
        <v>5.0999999999999996</v>
      </c>
      <c r="N269">
        <f t="shared" si="8"/>
        <v>384</v>
      </c>
      <c r="O269" t="str">
        <f t="shared" si="9"/>
        <v>Low</v>
      </c>
    </row>
    <row r="270" spans="1:15" x14ac:dyDescent="0.25">
      <c r="A270" s="5" t="s">
        <v>783</v>
      </c>
      <c r="B270" s="5" t="s">
        <v>784</v>
      </c>
      <c r="C270" s="5" t="s">
        <v>15</v>
      </c>
      <c r="D270" s="5" t="s">
        <v>62</v>
      </c>
      <c r="E270" s="5">
        <v>9.09</v>
      </c>
      <c r="F270" s="5">
        <v>93.3</v>
      </c>
      <c r="G270" s="5">
        <v>68.8</v>
      </c>
      <c r="H270" s="5">
        <v>0</v>
      </c>
      <c r="I270" s="5" t="s">
        <v>785</v>
      </c>
      <c r="J270" s="5">
        <v>2025</v>
      </c>
      <c r="K270" s="5" t="s">
        <v>18</v>
      </c>
      <c r="L270" s="5" t="s">
        <v>157</v>
      </c>
      <c r="M270" s="6">
        <v>9.9</v>
      </c>
      <c r="N270">
        <f t="shared" si="8"/>
        <v>75</v>
      </c>
      <c r="O270" t="str">
        <f t="shared" si="9"/>
        <v>Very High</v>
      </c>
    </row>
    <row r="271" spans="1:15" x14ac:dyDescent="0.25">
      <c r="A271" s="5" t="s">
        <v>786</v>
      </c>
      <c r="B271" s="8" t="s">
        <v>787</v>
      </c>
      <c r="C271" s="8" t="s">
        <v>15</v>
      </c>
      <c r="D271" s="8" t="s">
        <v>62</v>
      </c>
      <c r="E271" s="8">
        <v>9.19</v>
      </c>
      <c r="F271" s="8">
        <v>70</v>
      </c>
      <c r="G271" s="8">
        <v>73.099999999999994</v>
      </c>
      <c r="H271" s="8">
        <v>0</v>
      </c>
      <c r="I271" s="8" t="s">
        <v>788</v>
      </c>
      <c r="J271" s="8">
        <v>2027</v>
      </c>
      <c r="K271" s="8" t="s">
        <v>18</v>
      </c>
      <c r="L271" s="8" t="s">
        <v>108</v>
      </c>
      <c r="M271" s="9">
        <v>10.3</v>
      </c>
      <c r="N271">
        <f t="shared" si="8"/>
        <v>65</v>
      </c>
      <c r="O271" t="str">
        <f t="shared" si="9"/>
        <v>Very High</v>
      </c>
    </row>
    <row r="272" spans="1:15" x14ac:dyDescent="0.25">
      <c r="A272" s="5" t="s">
        <v>789</v>
      </c>
      <c r="B272" s="5" t="s">
        <v>790</v>
      </c>
      <c r="C272" s="5" t="s">
        <v>22</v>
      </c>
      <c r="D272" s="5" t="s">
        <v>16</v>
      </c>
      <c r="E272" s="5">
        <v>8.7899999999999991</v>
      </c>
      <c r="F272" s="5">
        <v>88.5</v>
      </c>
      <c r="G272" s="5">
        <v>89.1</v>
      </c>
      <c r="H272" s="5">
        <v>0</v>
      </c>
      <c r="I272" s="5" t="s">
        <v>791</v>
      </c>
      <c r="J272" s="5">
        <v>2026</v>
      </c>
      <c r="K272" s="5" t="s">
        <v>18</v>
      </c>
      <c r="L272" s="5" t="s">
        <v>48</v>
      </c>
      <c r="M272" s="6">
        <v>3.7</v>
      </c>
      <c r="N272">
        <f t="shared" si="8"/>
        <v>108</v>
      </c>
      <c r="O272" t="str">
        <f t="shared" si="9"/>
        <v>High</v>
      </c>
    </row>
    <row r="273" spans="1:15" x14ac:dyDescent="0.25">
      <c r="A273" s="5" t="s">
        <v>792</v>
      </c>
      <c r="B273" s="8" t="s">
        <v>353</v>
      </c>
      <c r="C273" s="8" t="s">
        <v>54</v>
      </c>
      <c r="D273" s="8" t="s">
        <v>169</v>
      </c>
      <c r="E273" s="8">
        <v>7.99</v>
      </c>
      <c r="F273" s="8">
        <v>58.6</v>
      </c>
      <c r="G273" s="8">
        <v>59.7</v>
      </c>
      <c r="H273" s="8">
        <v>0</v>
      </c>
      <c r="I273" s="8" t="s">
        <v>793</v>
      </c>
      <c r="J273" s="8">
        <v>2026</v>
      </c>
      <c r="K273" s="8" t="s">
        <v>34</v>
      </c>
      <c r="L273" s="8" t="s">
        <v>79</v>
      </c>
      <c r="M273" s="9"/>
      <c r="N273">
        <f t="shared" si="8"/>
        <v>207</v>
      </c>
      <c r="O273" t="str">
        <f t="shared" si="9"/>
        <v>Medium</v>
      </c>
    </row>
    <row r="274" spans="1:15" x14ac:dyDescent="0.25">
      <c r="A274" s="5" t="s">
        <v>794</v>
      </c>
      <c r="B274" s="5" t="s">
        <v>795</v>
      </c>
      <c r="C274" s="5" t="s">
        <v>22</v>
      </c>
      <c r="D274" s="5" t="s">
        <v>23</v>
      </c>
      <c r="E274" s="5">
        <v>9</v>
      </c>
      <c r="F274" s="5">
        <v>90.8</v>
      </c>
      <c r="G274" s="5">
        <v>89.2</v>
      </c>
      <c r="H274" s="5">
        <v>2</v>
      </c>
      <c r="I274" s="5" t="s">
        <v>796</v>
      </c>
      <c r="J274" s="5">
        <v>2026</v>
      </c>
      <c r="K274" s="5" t="s">
        <v>18</v>
      </c>
      <c r="L274" s="5" t="s">
        <v>59</v>
      </c>
      <c r="M274" s="6">
        <v>8.5</v>
      </c>
      <c r="N274">
        <f t="shared" si="8"/>
        <v>87</v>
      </c>
      <c r="O274" t="str">
        <f t="shared" si="9"/>
        <v>Very High</v>
      </c>
    </row>
    <row r="275" spans="1:15" x14ac:dyDescent="0.25">
      <c r="A275" s="5" t="s">
        <v>797</v>
      </c>
      <c r="B275" s="8" t="s">
        <v>798</v>
      </c>
      <c r="C275" s="8" t="s">
        <v>22</v>
      </c>
      <c r="D275" s="8" t="s">
        <v>23</v>
      </c>
      <c r="E275" s="8">
        <v>8.42</v>
      </c>
      <c r="F275" s="8">
        <v>59.2</v>
      </c>
      <c r="G275" s="8">
        <v>78.5</v>
      </c>
      <c r="H275" s="8">
        <v>1</v>
      </c>
      <c r="I275" s="8" t="s">
        <v>799</v>
      </c>
      <c r="J275" s="8">
        <v>2026</v>
      </c>
      <c r="K275" s="8" t="s">
        <v>34</v>
      </c>
      <c r="L275" s="8" t="s">
        <v>79</v>
      </c>
      <c r="M275" s="9"/>
      <c r="N275">
        <f t="shared" si="8"/>
        <v>151</v>
      </c>
      <c r="O275" t="str">
        <f t="shared" si="9"/>
        <v>High</v>
      </c>
    </row>
    <row r="276" spans="1:15" x14ac:dyDescent="0.25">
      <c r="A276" s="5" t="s">
        <v>800</v>
      </c>
      <c r="B276" s="5" t="s">
        <v>105</v>
      </c>
      <c r="C276" s="5" t="s">
        <v>41</v>
      </c>
      <c r="D276" s="5" t="s">
        <v>209</v>
      </c>
      <c r="E276" s="5">
        <v>9.6300000000000008</v>
      </c>
      <c r="F276" s="5">
        <v>62.1</v>
      </c>
      <c r="G276" s="5">
        <v>64.400000000000006</v>
      </c>
      <c r="H276" s="5">
        <v>1</v>
      </c>
      <c r="I276" s="5" t="s">
        <v>801</v>
      </c>
      <c r="J276" s="5">
        <v>2026</v>
      </c>
      <c r="K276" s="5" t="s">
        <v>34</v>
      </c>
      <c r="L276" s="5" t="s">
        <v>79</v>
      </c>
      <c r="M276" s="6"/>
      <c r="N276">
        <f t="shared" si="8"/>
        <v>15</v>
      </c>
      <c r="O276" t="str">
        <f t="shared" si="9"/>
        <v>Very High</v>
      </c>
    </row>
    <row r="277" spans="1:15" x14ac:dyDescent="0.25">
      <c r="A277" s="5" t="s">
        <v>802</v>
      </c>
      <c r="B277" s="8" t="s">
        <v>803</v>
      </c>
      <c r="C277" s="8" t="s">
        <v>54</v>
      </c>
      <c r="D277" s="8" t="s">
        <v>169</v>
      </c>
      <c r="E277" s="8">
        <v>6.24</v>
      </c>
      <c r="F277" s="8">
        <v>82.1</v>
      </c>
      <c r="G277" s="8">
        <v>53.8</v>
      </c>
      <c r="H277" s="8">
        <v>0</v>
      </c>
      <c r="I277" s="8" t="s">
        <v>804</v>
      </c>
      <c r="J277" s="8">
        <v>2026</v>
      </c>
      <c r="K277" s="8" t="s">
        <v>30</v>
      </c>
      <c r="L277" s="8" t="s">
        <v>79</v>
      </c>
      <c r="M277" s="9"/>
      <c r="N277">
        <f t="shared" si="8"/>
        <v>429</v>
      </c>
      <c r="O277" t="str">
        <f t="shared" si="9"/>
        <v>Low</v>
      </c>
    </row>
    <row r="278" spans="1:15" x14ac:dyDescent="0.25">
      <c r="A278" s="5" t="s">
        <v>805</v>
      </c>
      <c r="B278" s="5" t="s">
        <v>227</v>
      </c>
      <c r="C278" s="5" t="s">
        <v>15</v>
      </c>
      <c r="D278" s="5" t="s">
        <v>62</v>
      </c>
      <c r="E278" s="5">
        <v>8.1199999999999992</v>
      </c>
      <c r="F278" s="5">
        <v>87.3</v>
      </c>
      <c r="G278" s="5">
        <v>59.8</v>
      </c>
      <c r="H278" s="5">
        <v>0</v>
      </c>
      <c r="I278" s="5" t="s">
        <v>806</v>
      </c>
      <c r="J278" s="5">
        <v>2026</v>
      </c>
      <c r="K278" s="5" t="s">
        <v>18</v>
      </c>
      <c r="L278" s="5" t="s">
        <v>19</v>
      </c>
      <c r="M278" s="6">
        <v>12.8</v>
      </c>
      <c r="N278">
        <f t="shared" si="8"/>
        <v>191</v>
      </c>
      <c r="O278" t="str">
        <f t="shared" si="9"/>
        <v>High</v>
      </c>
    </row>
    <row r="279" spans="1:15" x14ac:dyDescent="0.25">
      <c r="A279" s="5" t="s">
        <v>807</v>
      </c>
      <c r="B279" s="8" t="s">
        <v>808</v>
      </c>
      <c r="C279" s="8" t="s">
        <v>22</v>
      </c>
      <c r="D279" s="8" t="s">
        <v>118</v>
      </c>
      <c r="E279" s="8">
        <v>7.8</v>
      </c>
      <c r="F279" s="8">
        <v>58.8</v>
      </c>
      <c r="G279" s="8">
        <v>66.7</v>
      </c>
      <c r="H279" s="8">
        <v>0</v>
      </c>
      <c r="I279" s="8" t="s">
        <v>750</v>
      </c>
      <c r="J279" s="8">
        <v>2026</v>
      </c>
      <c r="K279" s="8" t="s">
        <v>18</v>
      </c>
      <c r="L279" s="8" t="s">
        <v>59</v>
      </c>
      <c r="M279" s="9">
        <v>10.3</v>
      </c>
      <c r="N279">
        <f t="shared" si="8"/>
        <v>226</v>
      </c>
      <c r="O279" t="str">
        <f t="shared" si="9"/>
        <v>Medium</v>
      </c>
    </row>
    <row r="280" spans="1:15" x14ac:dyDescent="0.25">
      <c r="A280" s="5" t="s">
        <v>809</v>
      </c>
      <c r="B280" s="5" t="s">
        <v>296</v>
      </c>
      <c r="C280" s="5" t="s">
        <v>41</v>
      </c>
      <c r="D280" s="5" t="s">
        <v>42</v>
      </c>
      <c r="E280" s="5">
        <v>6.68</v>
      </c>
      <c r="F280" s="5">
        <v>75.5</v>
      </c>
      <c r="G280" s="5">
        <v>52.9</v>
      </c>
      <c r="H280" s="5">
        <v>0</v>
      </c>
      <c r="I280" s="5" t="s">
        <v>810</v>
      </c>
      <c r="J280" s="5">
        <v>2027</v>
      </c>
      <c r="K280" s="5" t="s">
        <v>18</v>
      </c>
      <c r="L280" s="5" t="s">
        <v>259</v>
      </c>
      <c r="M280" s="6">
        <v>13.1</v>
      </c>
      <c r="N280">
        <f t="shared" si="8"/>
        <v>376</v>
      </c>
      <c r="O280" t="str">
        <f t="shared" si="9"/>
        <v>Low</v>
      </c>
    </row>
    <row r="281" spans="1:15" x14ac:dyDescent="0.25">
      <c r="A281" s="5" t="s">
        <v>811</v>
      </c>
      <c r="B281" s="8" t="s">
        <v>643</v>
      </c>
      <c r="C281" s="8" t="s">
        <v>15</v>
      </c>
      <c r="D281" s="8" t="s">
        <v>62</v>
      </c>
      <c r="E281" s="8">
        <v>7.1</v>
      </c>
      <c r="F281" s="8">
        <v>84.6</v>
      </c>
      <c r="G281" s="8">
        <v>74</v>
      </c>
      <c r="H281" s="8">
        <v>1</v>
      </c>
      <c r="I281" s="8" t="s">
        <v>812</v>
      </c>
      <c r="J281" s="8">
        <v>2026</v>
      </c>
      <c r="K281" s="8" t="s">
        <v>30</v>
      </c>
      <c r="L281" s="8" t="s">
        <v>79</v>
      </c>
      <c r="M281" s="9"/>
      <c r="N281">
        <f t="shared" si="8"/>
        <v>323</v>
      </c>
      <c r="O281" t="str">
        <f t="shared" si="9"/>
        <v>Medium</v>
      </c>
    </row>
    <row r="282" spans="1:15" x14ac:dyDescent="0.25">
      <c r="A282" s="5" t="s">
        <v>813</v>
      </c>
      <c r="B282" s="5" t="s">
        <v>814</v>
      </c>
      <c r="C282" s="5" t="s">
        <v>41</v>
      </c>
      <c r="D282" s="5" t="s">
        <v>28</v>
      </c>
      <c r="E282" s="5">
        <v>9.69</v>
      </c>
      <c r="F282" s="5">
        <v>64.400000000000006</v>
      </c>
      <c r="G282" s="5">
        <v>68.7</v>
      </c>
      <c r="H282" s="5">
        <v>1</v>
      </c>
      <c r="I282" s="5" t="s">
        <v>815</v>
      </c>
      <c r="J282" s="5">
        <v>2027</v>
      </c>
      <c r="K282" s="5" t="s">
        <v>18</v>
      </c>
      <c r="L282" s="5" t="s">
        <v>19</v>
      </c>
      <c r="M282" s="6">
        <v>4</v>
      </c>
      <c r="N282">
        <f t="shared" si="8"/>
        <v>10</v>
      </c>
      <c r="O282" t="str">
        <f t="shared" si="9"/>
        <v>Very High</v>
      </c>
    </row>
    <row r="283" spans="1:15" x14ac:dyDescent="0.25">
      <c r="A283" s="5" t="s">
        <v>816</v>
      </c>
      <c r="B283" s="8" t="s">
        <v>447</v>
      </c>
      <c r="C283" s="8" t="s">
        <v>22</v>
      </c>
      <c r="D283" s="8" t="s">
        <v>16</v>
      </c>
      <c r="E283" s="8">
        <v>6.55</v>
      </c>
      <c r="F283" s="8">
        <v>70.2</v>
      </c>
      <c r="G283" s="8">
        <v>83</v>
      </c>
      <c r="H283" s="8">
        <v>0</v>
      </c>
      <c r="I283" s="8" t="s">
        <v>817</v>
      </c>
      <c r="J283" s="8">
        <v>2026</v>
      </c>
      <c r="K283" s="8" t="s">
        <v>34</v>
      </c>
      <c r="L283" s="8" t="s">
        <v>79</v>
      </c>
      <c r="M283" s="9"/>
      <c r="N283">
        <f t="shared" si="8"/>
        <v>398</v>
      </c>
      <c r="O283" t="str">
        <f t="shared" si="9"/>
        <v>Low</v>
      </c>
    </row>
    <row r="284" spans="1:15" x14ac:dyDescent="0.25">
      <c r="A284" s="5" t="s">
        <v>818</v>
      </c>
      <c r="B284" s="5" t="s">
        <v>819</v>
      </c>
      <c r="C284" s="5" t="s">
        <v>54</v>
      </c>
      <c r="D284" s="5" t="s">
        <v>42</v>
      </c>
      <c r="E284" s="5">
        <v>6.77</v>
      </c>
      <c r="F284" s="5">
        <v>60.4</v>
      </c>
      <c r="G284" s="5">
        <v>77.2</v>
      </c>
      <c r="H284" s="5">
        <v>0</v>
      </c>
      <c r="I284" s="5" t="s">
        <v>820</v>
      </c>
      <c r="J284" s="5">
        <v>2025</v>
      </c>
      <c r="K284" s="5" t="s">
        <v>18</v>
      </c>
      <c r="L284" s="5" t="s">
        <v>308</v>
      </c>
      <c r="M284" s="6">
        <v>8.8000000000000007</v>
      </c>
      <c r="N284">
        <f t="shared" si="8"/>
        <v>367</v>
      </c>
      <c r="O284" t="str">
        <f t="shared" si="9"/>
        <v>Low</v>
      </c>
    </row>
    <row r="285" spans="1:15" x14ac:dyDescent="0.25">
      <c r="A285" s="5" t="s">
        <v>821</v>
      </c>
      <c r="B285" s="8" t="s">
        <v>822</v>
      </c>
      <c r="C285" s="8" t="s">
        <v>15</v>
      </c>
      <c r="D285" s="8" t="s">
        <v>62</v>
      </c>
      <c r="E285" s="8">
        <v>8.7100000000000009</v>
      </c>
      <c r="F285" s="8">
        <v>89.5</v>
      </c>
      <c r="G285" s="8">
        <v>93.6</v>
      </c>
      <c r="H285" s="8">
        <v>0</v>
      </c>
      <c r="I285" s="8" t="s">
        <v>823</v>
      </c>
      <c r="J285" s="8">
        <v>2026</v>
      </c>
      <c r="K285" s="8" t="s">
        <v>34</v>
      </c>
      <c r="L285" s="8" t="s">
        <v>79</v>
      </c>
      <c r="M285" s="9"/>
      <c r="N285">
        <f t="shared" si="8"/>
        <v>121</v>
      </c>
      <c r="O285" t="str">
        <f t="shared" si="9"/>
        <v>High</v>
      </c>
    </row>
    <row r="286" spans="1:15" x14ac:dyDescent="0.25">
      <c r="A286" s="5" t="s">
        <v>824</v>
      </c>
      <c r="B286" s="5" t="s">
        <v>825</v>
      </c>
      <c r="C286" s="5" t="s">
        <v>41</v>
      </c>
      <c r="D286" s="5" t="s">
        <v>46</v>
      </c>
      <c r="E286" s="5">
        <v>8.6999999999999993</v>
      </c>
      <c r="F286" s="5">
        <v>69.400000000000006</v>
      </c>
      <c r="G286" s="5">
        <v>70.900000000000006</v>
      </c>
      <c r="H286" s="5">
        <v>0</v>
      </c>
      <c r="I286" s="5" t="s">
        <v>826</v>
      </c>
      <c r="J286" s="5">
        <v>2025</v>
      </c>
      <c r="K286" s="5" t="s">
        <v>18</v>
      </c>
      <c r="L286" s="5" t="s">
        <v>108</v>
      </c>
      <c r="M286" s="6">
        <v>13</v>
      </c>
      <c r="N286">
        <f t="shared" si="8"/>
        <v>123</v>
      </c>
      <c r="O286" t="str">
        <f t="shared" si="9"/>
        <v>High</v>
      </c>
    </row>
    <row r="287" spans="1:15" x14ac:dyDescent="0.25">
      <c r="A287" s="5" t="s">
        <v>827</v>
      </c>
      <c r="B287" s="8" t="s">
        <v>75</v>
      </c>
      <c r="C287" s="8" t="s">
        <v>22</v>
      </c>
      <c r="D287" s="8" t="s">
        <v>23</v>
      </c>
      <c r="E287" s="8">
        <v>6.19</v>
      </c>
      <c r="F287" s="8">
        <v>75</v>
      </c>
      <c r="G287" s="8">
        <v>78.3</v>
      </c>
      <c r="H287" s="8">
        <v>0</v>
      </c>
      <c r="I287" s="8" t="s">
        <v>828</v>
      </c>
      <c r="J287" s="8">
        <v>2026</v>
      </c>
      <c r="K287" s="8" t="s">
        <v>30</v>
      </c>
      <c r="L287" s="8" t="s">
        <v>79</v>
      </c>
      <c r="M287" s="9"/>
      <c r="N287">
        <f t="shared" si="8"/>
        <v>434</v>
      </c>
      <c r="O287" t="str">
        <f t="shared" si="9"/>
        <v>Low</v>
      </c>
    </row>
    <row r="288" spans="1:15" x14ac:dyDescent="0.25">
      <c r="A288" s="5" t="s">
        <v>829</v>
      </c>
      <c r="B288" s="5" t="s">
        <v>602</v>
      </c>
      <c r="C288" s="5" t="s">
        <v>54</v>
      </c>
      <c r="D288" s="5" t="s">
        <v>169</v>
      </c>
      <c r="E288" s="5">
        <v>7.48</v>
      </c>
      <c r="F288" s="5">
        <v>91.7</v>
      </c>
      <c r="G288" s="5">
        <v>82.1</v>
      </c>
      <c r="H288" s="5">
        <v>0</v>
      </c>
      <c r="I288" s="5" t="s">
        <v>830</v>
      </c>
      <c r="J288" s="5">
        <v>2026</v>
      </c>
      <c r="K288" s="5" t="s">
        <v>34</v>
      </c>
      <c r="L288" s="5" t="s">
        <v>79</v>
      </c>
      <c r="M288" s="6"/>
      <c r="N288">
        <f t="shared" si="8"/>
        <v>278</v>
      </c>
      <c r="O288" t="str">
        <f t="shared" si="9"/>
        <v>Medium</v>
      </c>
    </row>
    <row r="289" spans="1:15" x14ac:dyDescent="0.25">
      <c r="A289" s="5" t="s">
        <v>831</v>
      </c>
      <c r="B289" s="8" t="s">
        <v>832</v>
      </c>
      <c r="C289" s="8" t="s">
        <v>54</v>
      </c>
      <c r="D289" s="8" t="s">
        <v>46</v>
      </c>
      <c r="E289" s="8">
        <v>6.56</v>
      </c>
      <c r="F289" s="8">
        <v>84.8</v>
      </c>
      <c r="G289" s="8">
        <v>86.3</v>
      </c>
      <c r="H289" s="8">
        <v>0</v>
      </c>
      <c r="I289" s="8" t="s">
        <v>833</v>
      </c>
      <c r="J289" s="8">
        <v>2026</v>
      </c>
      <c r="K289" s="8" t="s">
        <v>18</v>
      </c>
      <c r="L289" s="8" t="s">
        <v>25</v>
      </c>
      <c r="M289" s="9">
        <v>6.6</v>
      </c>
      <c r="N289">
        <f t="shared" si="8"/>
        <v>394</v>
      </c>
      <c r="O289" t="str">
        <f t="shared" si="9"/>
        <v>Low</v>
      </c>
    </row>
    <row r="290" spans="1:15" x14ac:dyDescent="0.25">
      <c r="A290" s="5" t="s">
        <v>834</v>
      </c>
      <c r="B290" s="5" t="s">
        <v>787</v>
      </c>
      <c r="C290" s="5" t="s">
        <v>22</v>
      </c>
      <c r="D290" s="5" t="s">
        <v>118</v>
      </c>
      <c r="E290" s="5">
        <v>8.41</v>
      </c>
      <c r="F290" s="5">
        <v>65.7</v>
      </c>
      <c r="G290" s="5">
        <v>89.3</v>
      </c>
      <c r="H290" s="5">
        <v>0</v>
      </c>
      <c r="I290" s="5" t="s">
        <v>835</v>
      </c>
      <c r="J290" s="5">
        <v>2026</v>
      </c>
      <c r="K290" s="5" t="s">
        <v>30</v>
      </c>
      <c r="L290" s="5" t="s">
        <v>79</v>
      </c>
      <c r="M290" s="6"/>
      <c r="N290">
        <f t="shared" si="8"/>
        <v>153</v>
      </c>
      <c r="O290" t="str">
        <f t="shared" si="9"/>
        <v>High</v>
      </c>
    </row>
    <row r="291" spans="1:15" x14ac:dyDescent="0.25">
      <c r="A291" s="5" t="s">
        <v>836</v>
      </c>
      <c r="B291" s="8" t="s">
        <v>837</v>
      </c>
      <c r="C291" s="8" t="s">
        <v>41</v>
      </c>
      <c r="D291" s="8" t="s">
        <v>28</v>
      </c>
      <c r="E291" s="8">
        <v>6.82</v>
      </c>
      <c r="F291" s="8">
        <v>67.900000000000006</v>
      </c>
      <c r="G291" s="8">
        <v>65.8</v>
      </c>
      <c r="H291" s="8">
        <v>0</v>
      </c>
      <c r="I291" s="8" t="s">
        <v>838</v>
      </c>
      <c r="J291" s="8">
        <v>2026</v>
      </c>
      <c r="K291" s="8" t="s">
        <v>34</v>
      </c>
      <c r="L291" s="8" t="s">
        <v>79</v>
      </c>
      <c r="M291" s="9"/>
      <c r="N291">
        <f t="shared" si="8"/>
        <v>359</v>
      </c>
      <c r="O291" t="str">
        <f t="shared" si="9"/>
        <v>Low</v>
      </c>
    </row>
    <row r="292" spans="1:15" x14ac:dyDescent="0.25">
      <c r="A292" s="5" t="s">
        <v>839</v>
      </c>
      <c r="B292" s="5" t="s">
        <v>300</v>
      </c>
      <c r="C292" s="5" t="s">
        <v>54</v>
      </c>
      <c r="D292" s="5" t="s">
        <v>46</v>
      </c>
      <c r="E292" s="5">
        <v>9</v>
      </c>
      <c r="F292" s="5">
        <v>80.8</v>
      </c>
      <c r="G292" s="5">
        <v>81.5</v>
      </c>
      <c r="H292" s="5">
        <v>0</v>
      </c>
      <c r="I292" s="5" t="s">
        <v>840</v>
      </c>
      <c r="J292" s="5">
        <v>2026</v>
      </c>
      <c r="K292" s="5" t="s">
        <v>18</v>
      </c>
      <c r="L292" s="5" t="s">
        <v>19</v>
      </c>
      <c r="M292" s="6">
        <v>7.2</v>
      </c>
      <c r="N292">
        <f t="shared" si="8"/>
        <v>87</v>
      </c>
      <c r="O292" t="str">
        <f t="shared" si="9"/>
        <v>Very High</v>
      </c>
    </row>
    <row r="293" spans="1:15" x14ac:dyDescent="0.25">
      <c r="A293" s="5" t="s">
        <v>841</v>
      </c>
      <c r="B293" s="8" t="s">
        <v>842</v>
      </c>
      <c r="C293" s="8" t="s">
        <v>54</v>
      </c>
      <c r="D293" s="8" t="s">
        <v>843</v>
      </c>
      <c r="E293" s="8">
        <v>8.26</v>
      </c>
      <c r="F293" s="8">
        <v>76.900000000000006</v>
      </c>
      <c r="G293" s="8">
        <v>72.2</v>
      </c>
      <c r="H293" s="8">
        <v>0</v>
      </c>
      <c r="I293" s="8" t="s">
        <v>844</v>
      </c>
      <c r="J293" s="8">
        <v>2026</v>
      </c>
      <c r="K293" s="8" t="s">
        <v>30</v>
      </c>
      <c r="L293" s="8" t="s">
        <v>79</v>
      </c>
      <c r="M293" s="9"/>
      <c r="N293">
        <f t="shared" si="8"/>
        <v>174</v>
      </c>
      <c r="O293" t="str">
        <f t="shared" si="9"/>
        <v>High</v>
      </c>
    </row>
    <row r="294" spans="1:15" x14ac:dyDescent="0.25">
      <c r="A294" s="5" t="s">
        <v>845</v>
      </c>
      <c r="B294" s="5" t="s">
        <v>846</v>
      </c>
      <c r="C294" s="5" t="s">
        <v>15</v>
      </c>
      <c r="D294" s="5" t="s">
        <v>62</v>
      </c>
      <c r="E294" s="5">
        <v>7.84</v>
      </c>
      <c r="F294" s="5">
        <v>84.3</v>
      </c>
      <c r="G294" s="5">
        <v>78.3</v>
      </c>
      <c r="H294" s="5">
        <v>0</v>
      </c>
      <c r="I294" s="5" t="s">
        <v>847</v>
      </c>
      <c r="J294" s="5">
        <v>2027</v>
      </c>
      <c r="K294" s="5" t="s">
        <v>34</v>
      </c>
      <c r="L294" s="5" t="s">
        <v>79</v>
      </c>
      <c r="M294" s="6"/>
      <c r="N294">
        <f t="shared" si="8"/>
        <v>222</v>
      </c>
      <c r="O294" t="str">
        <f t="shared" si="9"/>
        <v>Medium</v>
      </c>
    </row>
    <row r="295" spans="1:15" x14ac:dyDescent="0.25">
      <c r="A295" s="5" t="s">
        <v>848</v>
      </c>
      <c r="B295" s="8" t="s">
        <v>849</v>
      </c>
      <c r="C295" s="8" t="s">
        <v>54</v>
      </c>
      <c r="D295" s="8" t="s">
        <v>169</v>
      </c>
      <c r="E295" s="8">
        <v>6.6</v>
      </c>
      <c r="F295" s="8">
        <v>55.6</v>
      </c>
      <c r="G295" s="8">
        <v>82.4</v>
      </c>
      <c r="H295" s="8">
        <v>1</v>
      </c>
      <c r="I295" s="8" t="s">
        <v>850</v>
      </c>
      <c r="J295" s="8">
        <v>2026</v>
      </c>
      <c r="K295" s="8" t="s">
        <v>34</v>
      </c>
      <c r="L295" s="8" t="s">
        <v>79</v>
      </c>
      <c r="M295" s="9"/>
      <c r="N295">
        <f t="shared" si="8"/>
        <v>387</v>
      </c>
      <c r="O295" t="str">
        <f t="shared" si="9"/>
        <v>Low</v>
      </c>
    </row>
    <row r="296" spans="1:15" x14ac:dyDescent="0.25">
      <c r="A296" s="5" t="s">
        <v>851</v>
      </c>
      <c r="B296" s="5" t="s">
        <v>849</v>
      </c>
      <c r="C296" s="5" t="s">
        <v>15</v>
      </c>
      <c r="D296" s="5" t="s">
        <v>28</v>
      </c>
      <c r="E296" s="5">
        <v>6.5</v>
      </c>
      <c r="F296" s="5">
        <v>76.3</v>
      </c>
      <c r="G296" s="5">
        <v>75.7</v>
      </c>
      <c r="H296" s="5">
        <v>0</v>
      </c>
      <c r="I296" s="5" t="s">
        <v>852</v>
      </c>
      <c r="J296" s="5">
        <v>2026</v>
      </c>
      <c r="K296" s="5" t="s">
        <v>30</v>
      </c>
      <c r="L296" s="5" t="s">
        <v>79</v>
      </c>
      <c r="M296" s="6"/>
      <c r="N296">
        <f t="shared" si="8"/>
        <v>403</v>
      </c>
      <c r="O296" t="str">
        <f t="shared" si="9"/>
        <v>Low</v>
      </c>
    </row>
    <row r="297" spans="1:15" x14ac:dyDescent="0.25">
      <c r="A297" s="5" t="s">
        <v>853</v>
      </c>
      <c r="B297" s="8" t="s">
        <v>854</v>
      </c>
      <c r="C297" s="8" t="s">
        <v>54</v>
      </c>
      <c r="D297" s="8" t="s">
        <v>42</v>
      </c>
      <c r="E297" s="8">
        <v>8.83</v>
      </c>
      <c r="F297" s="8">
        <v>95.4</v>
      </c>
      <c r="G297" s="8">
        <v>71.099999999999994</v>
      </c>
      <c r="H297" s="8">
        <v>0</v>
      </c>
      <c r="I297" s="8" t="s">
        <v>198</v>
      </c>
      <c r="J297" s="8">
        <v>2026</v>
      </c>
      <c r="K297" s="8" t="s">
        <v>18</v>
      </c>
      <c r="L297" s="8" t="s">
        <v>25</v>
      </c>
      <c r="M297" s="9">
        <v>13.9</v>
      </c>
      <c r="N297">
        <f t="shared" si="8"/>
        <v>99</v>
      </c>
      <c r="O297" t="str">
        <f t="shared" si="9"/>
        <v>High</v>
      </c>
    </row>
    <row r="298" spans="1:15" x14ac:dyDescent="0.25">
      <c r="A298" s="5" t="s">
        <v>855</v>
      </c>
      <c r="B298" s="5" t="s">
        <v>537</v>
      </c>
      <c r="C298" s="5" t="s">
        <v>41</v>
      </c>
      <c r="D298" s="5" t="s">
        <v>28</v>
      </c>
      <c r="E298" s="5">
        <v>9.6199999999999992</v>
      </c>
      <c r="F298" s="5">
        <v>76.7</v>
      </c>
      <c r="G298" s="5">
        <v>50.4</v>
      </c>
      <c r="H298" s="5">
        <v>1</v>
      </c>
      <c r="I298" s="5" t="s">
        <v>856</v>
      </c>
      <c r="J298" s="5">
        <v>2026</v>
      </c>
      <c r="K298" s="5" t="s">
        <v>34</v>
      </c>
      <c r="L298" s="5" t="s">
        <v>79</v>
      </c>
      <c r="M298" s="6"/>
      <c r="N298">
        <f t="shared" si="8"/>
        <v>17</v>
      </c>
      <c r="O298" t="str">
        <f t="shared" si="9"/>
        <v>Very High</v>
      </c>
    </row>
    <row r="299" spans="1:15" x14ac:dyDescent="0.25">
      <c r="A299" s="5" t="s">
        <v>857</v>
      </c>
      <c r="B299" s="8" t="s">
        <v>72</v>
      </c>
      <c r="C299" s="8" t="s">
        <v>54</v>
      </c>
      <c r="D299" s="8" t="s">
        <v>46</v>
      </c>
      <c r="E299" s="8">
        <v>7.21</v>
      </c>
      <c r="F299" s="8">
        <v>92.6</v>
      </c>
      <c r="G299" s="8">
        <v>62.4</v>
      </c>
      <c r="H299" s="8">
        <v>2</v>
      </c>
      <c r="I299" s="8" t="s">
        <v>858</v>
      </c>
      <c r="J299" s="8">
        <v>2026</v>
      </c>
      <c r="K299" s="8" t="s">
        <v>34</v>
      </c>
      <c r="L299" s="8" t="s">
        <v>79</v>
      </c>
      <c r="M299" s="9"/>
      <c r="N299">
        <f t="shared" si="8"/>
        <v>314</v>
      </c>
      <c r="O299" t="str">
        <f t="shared" si="9"/>
        <v>Medium</v>
      </c>
    </row>
    <row r="300" spans="1:15" x14ac:dyDescent="0.25">
      <c r="A300" s="5" t="s">
        <v>859</v>
      </c>
      <c r="B300" s="5" t="s">
        <v>860</v>
      </c>
      <c r="C300" s="5" t="s">
        <v>22</v>
      </c>
      <c r="D300" s="5" t="s">
        <v>23</v>
      </c>
      <c r="E300" s="5">
        <v>7.22</v>
      </c>
      <c r="F300" s="5">
        <v>87.7</v>
      </c>
      <c r="G300" s="5">
        <v>55.5</v>
      </c>
      <c r="H300" s="5">
        <v>0</v>
      </c>
      <c r="I300" s="5" t="s">
        <v>861</v>
      </c>
      <c r="J300" s="5">
        <v>2026</v>
      </c>
      <c r="K300" s="5" t="s">
        <v>18</v>
      </c>
      <c r="L300" s="5" t="s">
        <v>38</v>
      </c>
      <c r="M300" s="6">
        <v>13.8</v>
      </c>
      <c r="N300">
        <f t="shared" si="8"/>
        <v>312</v>
      </c>
      <c r="O300" t="str">
        <f t="shared" si="9"/>
        <v>Medium</v>
      </c>
    </row>
    <row r="301" spans="1:15" x14ac:dyDescent="0.25">
      <c r="A301" s="5" t="s">
        <v>862</v>
      </c>
      <c r="B301" s="8" t="s">
        <v>347</v>
      </c>
      <c r="C301" s="8" t="s">
        <v>41</v>
      </c>
      <c r="D301" s="8" t="s">
        <v>28</v>
      </c>
      <c r="E301" s="8">
        <v>6.53</v>
      </c>
      <c r="F301" s="8">
        <v>87.1</v>
      </c>
      <c r="G301" s="8">
        <v>73.5</v>
      </c>
      <c r="H301" s="8">
        <v>0</v>
      </c>
      <c r="I301" s="8" t="s">
        <v>863</v>
      </c>
      <c r="J301" s="8">
        <v>2026</v>
      </c>
      <c r="K301" s="8" t="s">
        <v>864</v>
      </c>
      <c r="L301" s="8" t="s">
        <v>79</v>
      </c>
      <c r="M301" s="9"/>
      <c r="N301">
        <f t="shared" si="8"/>
        <v>401</v>
      </c>
      <c r="O301" t="str">
        <f t="shared" si="9"/>
        <v>Low</v>
      </c>
    </row>
    <row r="302" spans="1:15" x14ac:dyDescent="0.25">
      <c r="A302" s="5" t="s">
        <v>865</v>
      </c>
      <c r="B302" s="5" t="s">
        <v>183</v>
      </c>
      <c r="C302" s="5" t="s">
        <v>22</v>
      </c>
      <c r="D302" s="5" t="s">
        <v>118</v>
      </c>
      <c r="E302" s="5">
        <v>9.7100000000000009</v>
      </c>
      <c r="F302" s="5">
        <v>84.3</v>
      </c>
      <c r="G302" s="5">
        <v>71.2</v>
      </c>
      <c r="H302" s="5">
        <v>0</v>
      </c>
      <c r="I302" s="5" t="s">
        <v>866</v>
      </c>
      <c r="J302" s="5">
        <v>2026</v>
      </c>
      <c r="K302" s="5" t="s">
        <v>18</v>
      </c>
      <c r="L302" s="5" t="s">
        <v>59</v>
      </c>
      <c r="M302" s="6">
        <v>12.5</v>
      </c>
      <c r="N302">
        <f t="shared" si="8"/>
        <v>7</v>
      </c>
      <c r="O302" t="str">
        <f t="shared" si="9"/>
        <v>Very High</v>
      </c>
    </row>
    <row r="303" spans="1:15" x14ac:dyDescent="0.25">
      <c r="A303" s="5" t="s">
        <v>867</v>
      </c>
      <c r="B303" s="8" t="s">
        <v>854</v>
      </c>
      <c r="C303" s="8" t="s">
        <v>41</v>
      </c>
      <c r="D303" s="8" t="s">
        <v>46</v>
      </c>
      <c r="E303" s="8">
        <v>6.88</v>
      </c>
      <c r="F303" s="8">
        <v>95.3</v>
      </c>
      <c r="G303" s="8">
        <v>65.8</v>
      </c>
      <c r="H303" s="8">
        <v>0</v>
      </c>
      <c r="I303" s="8" t="s">
        <v>868</v>
      </c>
      <c r="J303" s="8">
        <v>2026</v>
      </c>
      <c r="K303" s="8" t="s">
        <v>18</v>
      </c>
      <c r="L303" s="8" t="s">
        <v>308</v>
      </c>
      <c r="M303" s="9">
        <v>13.8</v>
      </c>
      <c r="N303">
        <f t="shared" si="8"/>
        <v>349</v>
      </c>
      <c r="O303" t="str">
        <f t="shared" si="9"/>
        <v>Low</v>
      </c>
    </row>
    <row r="304" spans="1:15" x14ac:dyDescent="0.25">
      <c r="A304" s="5" t="s">
        <v>869</v>
      </c>
      <c r="B304" s="5" t="s">
        <v>870</v>
      </c>
      <c r="C304" s="5" t="s">
        <v>15</v>
      </c>
      <c r="D304" s="5" t="s">
        <v>62</v>
      </c>
      <c r="E304" s="5">
        <v>6.88</v>
      </c>
      <c r="F304" s="5">
        <v>64.900000000000006</v>
      </c>
      <c r="G304" s="5">
        <v>69.900000000000006</v>
      </c>
      <c r="H304" s="5">
        <v>0</v>
      </c>
      <c r="I304" s="5" t="s">
        <v>871</v>
      </c>
      <c r="J304" s="5">
        <v>2026</v>
      </c>
      <c r="K304" s="5" t="s">
        <v>30</v>
      </c>
      <c r="L304" s="5" t="s">
        <v>79</v>
      </c>
      <c r="M304" s="6"/>
      <c r="N304">
        <f t="shared" si="8"/>
        <v>349</v>
      </c>
      <c r="O304" t="str">
        <f t="shared" si="9"/>
        <v>Low</v>
      </c>
    </row>
    <row r="305" spans="1:15" x14ac:dyDescent="0.25">
      <c r="A305" s="5" t="s">
        <v>872</v>
      </c>
      <c r="B305" s="8" t="s">
        <v>873</v>
      </c>
      <c r="C305" s="8" t="s">
        <v>41</v>
      </c>
      <c r="D305" s="8" t="s">
        <v>28</v>
      </c>
      <c r="E305" s="8">
        <v>7</v>
      </c>
      <c r="F305" s="8">
        <v>78.599999999999994</v>
      </c>
      <c r="G305" s="8">
        <v>76.099999999999994</v>
      </c>
      <c r="H305" s="8">
        <v>0</v>
      </c>
      <c r="I305" s="8" t="s">
        <v>874</v>
      </c>
      <c r="J305" s="8">
        <v>2026</v>
      </c>
      <c r="K305" s="8" t="s">
        <v>34</v>
      </c>
      <c r="L305" s="8" t="s">
        <v>79</v>
      </c>
      <c r="M305" s="9"/>
      <c r="N305">
        <f t="shared" si="8"/>
        <v>338</v>
      </c>
      <c r="O305" t="str">
        <f t="shared" si="9"/>
        <v>Medium</v>
      </c>
    </row>
    <row r="306" spans="1:15" x14ac:dyDescent="0.25">
      <c r="A306" s="5" t="s">
        <v>875</v>
      </c>
      <c r="B306" s="5" t="s">
        <v>636</v>
      </c>
      <c r="C306" s="5" t="s">
        <v>41</v>
      </c>
      <c r="D306" s="5" t="s">
        <v>209</v>
      </c>
      <c r="E306" s="5">
        <v>7.24</v>
      </c>
      <c r="F306" s="5">
        <v>78.400000000000006</v>
      </c>
      <c r="G306" s="5">
        <v>87.3</v>
      </c>
      <c r="H306" s="5">
        <v>0</v>
      </c>
      <c r="I306" s="5" t="s">
        <v>876</v>
      </c>
      <c r="J306" s="5">
        <v>2026</v>
      </c>
      <c r="K306" s="5" t="s">
        <v>34</v>
      </c>
      <c r="L306" s="5" t="s">
        <v>79</v>
      </c>
      <c r="M306" s="6"/>
      <c r="N306">
        <f t="shared" si="8"/>
        <v>308</v>
      </c>
      <c r="O306" t="str">
        <f t="shared" si="9"/>
        <v>Medium</v>
      </c>
    </row>
    <row r="307" spans="1:15" x14ac:dyDescent="0.25">
      <c r="A307" s="5" t="s">
        <v>877</v>
      </c>
      <c r="B307" s="8" t="s">
        <v>765</v>
      </c>
      <c r="C307" s="8" t="s">
        <v>54</v>
      </c>
      <c r="D307" s="8" t="s">
        <v>169</v>
      </c>
      <c r="E307" s="8">
        <v>7.59</v>
      </c>
      <c r="F307" s="8">
        <v>58.3</v>
      </c>
      <c r="G307" s="8">
        <v>78.2</v>
      </c>
      <c r="H307" s="8">
        <v>0</v>
      </c>
      <c r="I307" s="8" t="s">
        <v>878</v>
      </c>
      <c r="J307" s="8">
        <v>2026</v>
      </c>
      <c r="K307" s="8" t="s">
        <v>34</v>
      </c>
      <c r="L307" s="8" t="s">
        <v>79</v>
      </c>
      <c r="M307" s="9"/>
      <c r="N307">
        <f t="shared" si="8"/>
        <v>262</v>
      </c>
      <c r="O307" t="str">
        <f t="shared" si="9"/>
        <v>Medium</v>
      </c>
    </row>
    <row r="308" spans="1:15" x14ac:dyDescent="0.25">
      <c r="A308" s="5" t="s">
        <v>879</v>
      </c>
      <c r="B308" s="5" t="s">
        <v>880</v>
      </c>
      <c r="C308" s="5" t="s">
        <v>41</v>
      </c>
      <c r="D308" s="5" t="s">
        <v>46</v>
      </c>
      <c r="E308" s="5">
        <v>7.05</v>
      </c>
      <c r="F308" s="5">
        <v>82.4</v>
      </c>
      <c r="G308" s="5">
        <v>82.7</v>
      </c>
      <c r="H308" s="5">
        <v>0</v>
      </c>
      <c r="I308" s="5" t="s">
        <v>881</v>
      </c>
      <c r="J308" s="5">
        <v>2026</v>
      </c>
      <c r="K308" s="5" t="s">
        <v>34</v>
      </c>
      <c r="L308" s="5" t="s">
        <v>79</v>
      </c>
      <c r="M308" s="6"/>
      <c r="N308">
        <f t="shared" si="8"/>
        <v>332</v>
      </c>
      <c r="O308" t="str">
        <f t="shared" si="9"/>
        <v>Medium</v>
      </c>
    </row>
    <row r="309" spans="1:15" x14ac:dyDescent="0.25">
      <c r="A309" s="5" t="s">
        <v>882</v>
      </c>
      <c r="B309" s="8" t="s">
        <v>434</v>
      </c>
      <c r="C309" s="8" t="s">
        <v>22</v>
      </c>
      <c r="D309" s="8" t="s">
        <v>23</v>
      </c>
      <c r="E309" s="8">
        <v>6.74</v>
      </c>
      <c r="F309" s="8">
        <v>65.599999999999994</v>
      </c>
      <c r="G309" s="8">
        <v>84.2</v>
      </c>
      <c r="H309" s="8">
        <v>0</v>
      </c>
      <c r="I309" s="8" t="s">
        <v>883</v>
      </c>
      <c r="J309" s="8">
        <v>2025</v>
      </c>
      <c r="K309" s="8" t="s">
        <v>34</v>
      </c>
      <c r="L309" s="8" t="s">
        <v>79</v>
      </c>
      <c r="M309" s="9"/>
      <c r="N309">
        <f t="shared" si="8"/>
        <v>370</v>
      </c>
      <c r="O309" t="str">
        <f t="shared" si="9"/>
        <v>Low</v>
      </c>
    </row>
    <row r="310" spans="1:15" x14ac:dyDescent="0.25">
      <c r="A310" s="5" t="s">
        <v>884</v>
      </c>
      <c r="B310" s="5" t="s">
        <v>559</v>
      </c>
      <c r="C310" s="5" t="s">
        <v>15</v>
      </c>
      <c r="D310" s="5" t="s">
        <v>28</v>
      </c>
      <c r="E310" s="5">
        <v>7.9</v>
      </c>
      <c r="F310" s="5">
        <v>96.8</v>
      </c>
      <c r="G310" s="5">
        <v>54.8</v>
      </c>
      <c r="H310" s="5">
        <v>0</v>
      </c>
      <c r="I310" s="5" t="s">
        <v>885</v>
      </c>
      <c r="J310" s="5">
        <v>2026</v>
      </c>
      <c r="K310" s="5" t="s">
        <v>34</v>
      </c>
      <c r="L310" s="5" t="s">
        <v>79</v>
      </c>
      <c r="M310" s="6"/>
      <c r="N310">
        <f t="shared" si="8"/>
        <v>214</v>
      </c>
      <c r="O310" t="str">
        <f t="shared" si="9"/>
        <v>Medium</v>
      </c>
    </row>
    <row r="311" spans="1:15" x14ac:dyDescent="0.25">
      <c r="A311" s="5" t="s">
        <v>886</v>
      </c>
      <c r="B311" s="8" t="s">
        <v>537</v>
      </c>
      <c r="C311" s="8" t="s">
        <v>22</v>
      </c>
      <c r="D311" s="8" t="s">
        <v>23</v>
      </c>
      <c r="E311" s="8">
        <v>9.15</v>
      </c>
      <c r="F311" s="8">
        <v>56.2</v>
      </c>
      <c r="G311" s="8">
        <v>80.5</v>
      </c>
      <c r="H311" s="8">
        <v>1</v>
      </c>
      <c r="I311" s="8" t="s">
        <v>887</v>
      </c>
      <c r="J311" s="8">
        <v>2026</v>
      </c>
      <c r="K311" s="8" t="s">
        <v>30</v>
      </c>
      <c r="L311" s="8" t="s">
        <v>79</v>
      </c>
      <c r="M311" s="9"/>
      <c r="N311">
        <f t="shared" si="8"/>
        <v>68</v>
      </c>
      <c r="O311" t="str">
        <f t="shared" si="9"/>
        <v>Very High</v>
      </c>
    </row>
    <row r="312" spans="1:15" x14ac:dyDescent="0.25">
      <c r="A312" s="5" t="s">
        <v>888</v>
      </c>
      <c r="B312" s="5" t="s">
        <v>889</v>
      </c>
      <c r="C312" s="5" t="s">
        <v>54</v>
      </c>
      <c r="D312" s="5" t="s">
        <v>169</v>
      </c>
      <c r="E312" s="5">
        <v>8.8000000000000007</v>
      </c>
      <c r="F312" s="5">
        <v>91.8</v>
      </c>
      <c r="G312" s="5">
        <v>70</v>
      </c>
      <c r="H312" s="5">
        <v>0</v>
      </c>
      <c r="I312" s="5" t="s">
        <v>890</v>
      </c>
      <c r="J312" s="5">
        <v>2025</v>
      </c>
      <c r="K312" s="5" t="s">
        <v>18</v>
      </c>
      <c r="L312" s="5" t="s">
        <v>70</v>
      </c>
      <c r="M312" s="6">
        <v>6</v>
      </c>
      <c r="N312">
        <f t="shared" si="8"/>
        <v>106</v>
      </c>
      <c r="O312" t="str">
        <f t="shared" si="9"/>
        <v>High</v>
      </c>
    </row>
    <row r="313" spans="1:15" x14ac:dyDescent="0.25">
      <c r="A313" s="5" t="s">
        <v>891</v>
      </c>
      <c r="B313" s="8" t="s">
        <v>892</v>
      </c>
      <c r="C313" s="8" t="s">
        <v>15</v>
      </c>
      <c r="D313" s="8" t="s">
        <v>62</v>
      </c>
      <c r="E313" s="8">
        <v>9.06</v>
      </c>
      <c r="F313" s="8">
        <v>90.6</v>
      </c>
      <c r="G313" s="8">
        <v>65.8</v>
      </c>
      <c r="H313" s="8">
        <v>0</v>
      </c>
      <c r="I313" s="8" t="s">
        <v>582</v>
      </c>
      <c r="J313" s="8">
        <v>2026</v>
      </c>
      <c r="K313" s="8" t="s">
        <v>34</v>
      </c>
      <c r="L313" s="8" t="s">
        <v>79</v>
      </c>
      <c r="M313" s="9"/>
      <c r="N313">
        <f t="shared" si="8"/>
        <v>79</v>
      </c>
      <c r="O313" t="str">
        <f t="shared" si="9"/>
        <v>Very High</v>
      </c>
    </row>
    <row r="314" spans="1:15" x14ac:dyDescent="0.25">
      <c r="A314" s="5" t="s">
        <v>893</v>
      </c>
      <c r="B314" s="5" t="s">
        <v>894</v>
      </c>
      <c r="C314" s="5" t="s">
        <v>15</v>
      </c>
      <c r="D314" s="5" t="s">
        <v>62</v>
      </c>
      <c r="E314" s="5">
        <v>7.29</v>
      </c>
      <c r="F314" s="5">
        <v>72.3</v>
      </c>
      <c r="G314" s="5">
        <v>75.8</v>
      </c>
      <c r="H314" s="5">
        <v>0</v>
      </c>
      <c r="I314" s="5" t="s">
        <v>895</v>
      </c>
      <c r="J314" s="5">
        <v>2026</v>
      </c>
      <c r="K314" s="5" t="s">
        <v>18</v>
      </c>
      <c r="L314" s="5" t="s">
        <v>19</v>
      </c>
      <c r="M314" s="6">
        <v>8.8000000000000007</v>
      </c>
      <c r="N314">
        <f t="shared" si="8"/>
        <v>303</v>
      </c>
      <c r="O314" t="str">
        <f t="shared" si="9"/>
        <v>Medium</v>
      </c>
    </row>
    <row r="315" spans="1:15" x14ac:dyDescent="0.25">
      <c r="A315" s="5" t="s">
        <v>896</v>
      </c>
      <c r="B315" s="8" t="s">
        <v>897</v>
      </c>
      <c r="C315" s="8" t="s">
        <v>41</v>
      </c>
      <c r="D315" s="8" t="s">
        <v>209</v>
      </c>
      <c r="E315" s="8">
        <v>8.39</v>
      </c>
      <c r="F315" s="8">
        <v>77.3</v>
      </c>
      <c r="G315" s="8">
        <v>62.4</v>
      </c>
      <c r="H315" s="8">
        <v>0</v>
      </c>
      <c r="I315" s="8" t="s">
        <v>898</v>
      </c>
      <c r="J315" s="8">
        <v>2026</v>
      </c>
      <c r="K315" s="8" t="s">
        <v>30</v>
      </c>
      <c r="L315" s="8" t="s">
        <v>79</v>
      </c>
      <c r="M315" s="9"/>
      <c r="N315">
        <f t="shared" si="8"/>
        <v>158</v>
      </c>
      <c r="O315" t="str">
        <f t="shared" si="9"/>
        <v>High</v>
      </c>
    </row>
    <row r="316" spans="1:15" x14ac:dyDescent="0.25">
      <c r="A316" s="5" t="s">
        <v>899</v>
      </c>
      <c r="B316" s="5" t="s">
        <v>149</v>
      </c>
      <c r="C316" s="5" t="s">
        <v>54</v>
      </c>
      <c r="D316" s="5" t="s">
        <v>42</v>
      </c>
      <c r="E316" s="5">
        <v>7.08</v>
      </c>
      <c r="F316" s="5">
        <v>61.4</v>
      </c>
      <c r="G316" s="5">
        <v>94.6</v>
      </c>
      <c r="H316" s="5">
        <v>0</v>
      </c>
      <c r="I316" s="5" t="s">
        <v>900</v>
      </c>
      <c r="J316" s="5">
        <v>2025</v>
      </c>
      <c r="K316" s="5" t="s">
        <v>34</v>
      </c>
      <c r="L316" s="5" t="s">
        <v>79</v>
      </c>
      <c r="M316" s="6"/>
      <c r="N316">
        <f t="shared" si="8"/>
        <v>326</v>
      </c>
      <c r="O316" t="str">
        <f t="shared" si="9"/>
        <v>Medium</v>
      </c>
    </row>
    <row r="317" spans="1:15" x14ac:dyDescent="0.25">
      <c r="A317" s="5" t="s">
        <v>901</v>
      </c>
      <c r="B317" s="8" t="s">
        <v>146</v>
      </c>
      <c r="C317" s="8" t="s">
        <v>22</v>
      </c>
      <c r="D317" s="8" t="s">
        <v>16</v>
      </c>
      <c r="E317" s="8">
        <v>7.77</v>
      </c>
      <c r="F317" s="8">
        <v>69.400000000000006</v>
      </c>
      <c r="G317" s="8">
        <v>64.3</v>
      </c>
      <c r="H317" s="8">
        <v>1</v>
      </c>
      <c r="I317" s="8" t="s">
        <v>902</v>
      </c>
      <c r="J317" s="8">
        <v>2026</v>
      </c>
      <c r="K317" s="8" t="s">
        <v>34</v>
      </c>
      <c r="L317" s="8" t="s">
        <v>79</v>
      </c>
      <c r="M317" s="9"/>
      <c r="N317">
        <f t="shared" si="8"/>
        <v>233</v>
      </c>
      <c r="O317" t="str">
        <f t="shared" si="9"/>
        <v>Medium</v>
      </c>
    </row>
    <row r="318" spans="1:15" x14ac:dyDescent="0.25">
      <c r="A318" s="5" t="s">
        <v>903</v>
      </c>
      <c r="B318" s="5" t="s">
        <v>396</v>
      </c>
      <c r="C318" s="5" t="s">
        <v>15</v>
      </c>
      <c r="D318" s="5" t="s">
        <v>62</v>
      </c>
      <c r="E318" s="5">
        <v>7.68</v>
      </c>
      <c r="F318" s="5">
        <v>63.1</v>
      </c>
      <c r="G318" s="5">
        <v>88.7</v>
      </c>
      <c r="H318" s="5">
        <v>1</v>
      </c>
      <c r="I318" s="5" t="s">
        <v>456</v>
      </c>
      <c r="J318" s="5">
        <v>2026</v>
      </c>
      <c r="K318" s="5" t="s">
        <v>34</v>
      </c>
      <c r="L318" s="5" t="s">
        <v>79</v>
      </c>
      <c r="M318" s="6"/>
      <c r="N318">
        <f t="shared" si="8"/>
        <v>246</v>
      </c>
      <c r="O318" t="str">
        <f t="shared" si="9"/>
        <v>Medium</v>
      </c>
    </row>
    <row r="319" spans="1:15" x14ac:dyDescent="0.25">
      <c r="A319" s="5" t="s">
        <v>904</v>
      </c>
      <c r="B319" s="8" t="s">
        <v>110</v>
      </c>
      <c r="C319" s="8" t="s">
        <v>22</v>
      </c>
      <c r="D319" s="8" t="s">
        <v>118</v>
      </c>
      <c r="E319" s="8">
        <v>8.74</v>
      </c>
      <c r="F319" s="8">
        <v>58.9</v>
      </c>
      <c r="G319" s="8">
        <v>80.599999999999994</v>
      </c>
      <c r="H319" s="8">
        <v>0</v>
      </c>
      <c r="I319" s="8" t="s">
        <v>801</v>
      </c>
      <c r="J319" s="8">
        <v>2025</v>
      </c>
      <c r="K319" s="8" t="s">
        <v>30</v>
      </c>
      <c r="L319" s="8" t="s">
        <v>79</v>
      </c>
      <c r="M319" s="9"/>
      <c r="N319">
        <f t="shared" si="8"/>
        <v>117</v>
      </c>
      <c r="O319" t="str">
        <f t="shared" si="9"/>
        <v>High</v>
      </c>
    </row>
    <row r="320" spans="1:15" x14ac:dyDescent="0.25">
      <c r="A320" s="5" t="s">
        <v>905</v>
      </c>
      <c r="B320" s="5" t="s">
        <v>906</v>
      </c>
      <c r="C320" s="5" t="s">
        <v>54</v>
      </c>
      <c r="D320" s="5" t="s">
        <v>169</v>
      </c>
      <c r="E320" s="5">
        <v>7</v>
      </c>
      <c r="F320" s="5">
        <v>70.099999999999994</v>
      </c>
      <c r="G320" s="5">
        <v>52.4</v>
      </c>
      <c r="H320" s="5">
        <v>0</v>
      </c>
      <c r="I320" s="5" t="s">
        <v>866</v>
      </c>
      <c r="J320" s="5">
        <v>2026</v>
      </c>
      <c r="K320" s="5" t="s">
        <v>18</v>
      </c>
      <c r="L320" s="5" t="s">
        <v>188</v>
      </c>
      <c r="M320" s="6">
        <v>9.5</v>
      </c>
      <c r="N320">
        <f t="shared" si="8"/>
        <v>338</v>
      </c>
      <c r="O320" t="str">
        <f t="shared" si="9"/>
        <v>Medium</v>
      </c>
    </row>
    <row r="321" spans="1:15" x14ac:dyDescent="0.25">
      <c r="A321" s="5" t="s">
        <v>907</v>
      </c>
      <c r="B321" s="8" t="s">
        <v>908</v>
      </c>
      <c r="C321" s="8" t="s">
        <v>15</v>
      </c>
      <c r="D321" s="8" t="s">
        <v>16</v>
      </c>
      <c r="E321" s="8">
        <v>8.1199999999999992</v>
      </c>
      <c r="F321" s="8">
        <v>84</v>
      </c>
      <c r="G321" s="8">
        <v>81.7</v>
      </c>
      <c r="H321" s="8">
        <v>0</v>
      </c>
      <c r="I321" s="8" t="s">
        <v>671</v>
      </c>
      <c r="J321" s="8">
        <v>2026</v>
      </c>
      <c r="K321" s="8" t="s">
        <v>34</v>
      </c>
      <c r="L321" s="8" t="s">
        <v>79</v>
      </c>
      <c r="M321" s="9"/>
      <c r="N321">
        <f t="shared" si="8"/>
        <v>191</v>
      </c>
      <c r="O321" t="str">
        <f t="shared" si="9"/>
        <v>High</v>
      </c>
    </row>
    <row r="322" spans="1:15" x14ac:dyDescent="0.25">
      <c r="A322" s="5" t="s">
        <v>909</v>
      </c>
      <c r="B322" s="5" t="s">
        <v>910</v>
      </c>
      <c r="C322" s="5" t="s">
        <v>15</v>
      </c>
      <c r="D322" s="5" t="s">
        <v>28</v>
      </c>
      <c r="E322" s="5">
        <v>8.3800000000000008</v>
      </c>
      <c r="F322" s="5">
        <v>84.5</v>
      </c>
      <c r="G322" s="5">
        <v>86.4</v>
      </c>
      <c r="H322" s="5">
        <v>0</v>
      </c>
      <c r="I322" s="5" t="s">
        <v>911</v>
      </c>
      <c r="J322" s="5">
        <v>2026</v>
      </c>
      <c r="K322" s="5" t="s">
        <v>18</v>
      </c>
      <c r="L322" s="5" t="s">
        <v>19</v>
      </c>
      <c r="M322" s="6">
        <v>3.4</v>
      </c>
      <c r="N322">
        <f t="shared" si="8"/>
        <v>160</v>
      </c>
      <c r="O322" t="str">
        <f t="shared" si="9"/>
        <v>High</v>
      </c>
    </row>
    <row r="323" spans="1:15" x14ac:dyDescent="0.25">
      <c r="A323" s="5" t="s">
        <v>912</v>
      </c>
      <c r="B323" s="8" t="s">
        <v>913</v>
      </c>
      <c r="C323" s="8" t="s">
        <v>22</v>
      </c>
      <c r="D323" s="8" t="s">
        <v>118</v>
      </c>
      <c r="E323" s="8">
        <v>9.39</v>
      </c>
      <c r="F323" s="8">
        <v>75.400000000000006</v>
      </c>
      <c r="G323" s="8">
        <v>70.099999999999994</v>
      </c>
      <c r="H323" s="8">
        <v>0</v>
      </c>
      <c r="I323" s="8" t="s">
        <v>914</v>
      </c>
      <c r="J323" s="8">
        <v>2026</v>
      </c>
      <c r="K323" s="8" t="s">
        <v>30</v>
      </c>
      <c r="L323" s="8" t="s">
        <v>79</v>
      </c>
      <c r="M323" s="9"/>
      <c r="N323">
        <f t="shared" ref="N323:N386" si="10">RANK(E323,$E$2:$E$481,0)</f>
        <v>40</v>
      </c>
      <c r="O323" t="str">
        <f t="shared" ref="O323:O386" si="11">IF(E323&gt;=9,"Very High",IF(E323&gt;=8,"High",IF(E323&gt;=7,"Medium","Low")))</f>
        <v>Very High</v>
      </c>
    </row>
    <row r="324" spans="1:15" x14ac:dyDescent="0.25">
      <c r="A324" s="5" t="s">
        <v>915</v>
      </c>
      <c r="B324" s="5" t="s">
        <v>310</v>
      </c>
      <c r="C324" s="5" t="s">
        <v>22</v>
      </c>
      <c r="D324" s="5" t="s">
        <v>16</v>
      </c>
      <c r="E324" s="5">
        <v>7.92</v>
      </c>
      <c r="F324" s="5">
        <v>73.900000000000006</v>
      </c>
      <c r="G324" s="5">
        <v>87.7</v>
      </c>
      <c r="H324" s="5">
        <v>0</v>
      </c>
      <c r="I324" s="5" t="s">
        <v>916</v>
      </c>
      <c r="J324" s="5">
        <v>2027</v>
      </c>
      <c r="K324" s="5" t="s">
        <v>34</v>
      </c>
      <c r="L324" s="5" t="s">
        <v>79</v>
      </c>
      <c r="M324" s="6"/>
      <c r="N324">
        <f t="shared" si="10"/>
        <v>212</v>
      </c>
      <c r="O324" t="str">
        <f t="shared" si="11"/>
        <v>Medium</v>
      </c>
    </row>
    <row r="325" spans="1:15" x14ac:dyDescent="0.25">
      <c r="A325" s="5" t="s">
        <v>917</v>
      </c>
      <c r="B325" s="8" t="s">
        <v>768</v>
      </c>
      <c r="C325" s="8" t="s">
        <v>22</v>
      </c>
      <c r="D325" s="8" t="s">
        <v>118</v>
      </c>
      <c r="E325" s="8">
        <v>8.68</v>
      </c>
      <c r="F325" s="8">
        <v>82.6</v>
      </c>
      <c r="G325" s="8">
        <v>74.8</v>
      </c>
      <c r="H325" s="8">
        <v>0</v>
      </c>
      <c r="I325" s="8" t="s">
        <v>918</v>
      </c>
      <c r="J325" s="8">
        <v>2026</v>
      </c>
      <c r="K325" s="8" t="s">
        <v>18</v>
      </c>
      <c r="L325" s="8" t="s">
        <v>518</v>
      </c>
      <c r="M325" s="9">
        <v>10.3</v>
      </c>
      <c r="N325">
        <f t="shared" si="10"/>
        <v>126</v>
      </c>
      <c r="O325" t="str">
        <f t="shared" si="11"/>
        <v>High</v>
      </c>
    </row>
    <row r="326" spans="1:15" x14ac:dyDescent="0.25">
      <c r="A326" s="5" t="s">
        <v>919</v>
      </c>
      <c r="B326" s="5" t="s">
        <v>920</v>
      </c>
      <c r="C326" s="5" t="s">
        <v>22</v>
      </c>
      <c r="D326" s="5" t="s">
        <v>16</v>
      </c>
      <c r="E326" s="5">
        <v>6.61</v>
      </c>
      <c r="F326" s="5">
        <v>75.400000000000006</v>
      </c>
      <c r="G326" s="5">
        <v>54.5</v>
      </c>
      <c r="H326" s="5">
        <v>0</v>
      </c>
      <c r="I326" s="5" t="s">
        <v>921</v>
      </c>
      <c r="J326" s="5">
        <v>2026</v>
      </c>
      <c r="K326" s="5" t="s">
        <v>34</v>
      </c>
      <c r="L326" s="5" t="s">
        <v>79</v>
      </c>
      <c r="M326" s="6"/>
      <c r="N326">
        <f t="shared" si="10"/>
        <v>386</v>
      </c>
      <c r="O326" t="str">
        <f t="shared" si="11"/>
        <v>Low</v>
      </c>
    </row>
    <row r="327" spans="1:15" x14ac:dyDescent="0.25">
      <c r="A327" s="5" t="s">
        <v>922</v>
      </c>
      <c r="B327" s="8" t="s">
        <v>837</v>
      </c>
      <c r="C327" s="8" t="s">
        <v>54</v>
      </c>
      <c r="D327" s="8" t="s">
        <v>42</v>
      </c>
      <c r="E327" s="8">
        <v>7.67</v>
      </c>
      <c r="F327" s="8">
        <v>81.8</v>
      </c>
      <c r="G327" s="8">
        <v>66.599999999999994</v>
      </c>
      <c r="H327" s="8">
        <v>0</v>
      </c>
      <c r="I327" s="8" t="s">
        <v>923</v>
      </c>
      <c r="J327" s="8">
        <v>2026</v>
      </c>
      <c r="K327" s="8" t="s">
        <v>34</v>
      </c>
      <c r="L327" s="8" t="s">
        <v>79</v>
      </c>
      <c r="M327" s="9"/>
      <c r="N327">
        <f t="shared" si="10"/>
        <v>248</v>
      </c>
      <c r="O327" t="str">
        <f t="shared" si="11"/>
        <v>Medium</v>
      </c>
    </row>
    <row r="328" spans="1:15" x14ac:dyDescent="0.25">
      <c r="A328" s="5" t="s">
        <v>924</v>
      </c>
      <c r="B328" s="5" t="s">
        <v>925</v>
      </c>
      <c r="C328" s="5" t="s">
        <v>15</v>
      </c>
      <c r="D328" s="5" t="s">
        <v>16</v>
      </c>
      <c r="E328" s="5">
        <v>8.6999999999999993</v>
      </c>
      <c r="F328" s="5">
        <v>77.3</v>
      </c>
      <c r="G328" s="5">
        <v>58.7</v>
      </c>
      <c r="H328" s="5">
        <v>0</v>
      </c>
      <c r="I328" s="5" t="s">
        <v>926</v>
      </c>
      <c r="J328" s="5">
        <v>2026</v>
      </c>
      <c r="K328" s="5" t="s">
        <v>30</v>
      </c>
      <c r="L328" s="5" t="s">
        <v>79</v>
      </c>
      <c r="M328" s="6"/>
      <c r="N328">
        <f t="shared" si="10"/>
        <v>123</v>
      </c>
      <c r="O328" t="str">
        <f t="shared" si="11"/>
        <v>High</v>
      </c>
    </row>
    <row r="329" spans="1:15" x14ac:dyDescent="0.25">
      <c r="A329" s="5" t="s">
        <v>927</v>
      </c>
      <c r="B329" s="8" t="s">
        <v>452</v>
      </c>
      <c r="C329" s="8" t="s">
        <v>54</v>
      </c>
      <c r="D329" s="8" t="s">
        <v>42</v>
      </c>
      <c r="E329" s="8">
        <v>6.47</v>
      </c>
      <c r="F329" s="8">
        <v>62.6</v>
      </c>
      <c r="G329" s="8">
        <v>68.5</v>
      </c>
      <c r="H329" s="8">
        <v>0</v>
      </c>
      <c r="I329" s="8" t="s">
        <v>928</v>
      </c>
      <c r="J329" s="8">
        <v>2027</v>
      </c>
      <c r="K329" s="8" t="s">
        <v>34</v>
      </c>
      <c r="L329" s="8" t="s">
        <v>79</v>
      </c>
      <c r="M329" s="9"/>
      <c r="N329">
        <f t="shared" si="10"/>
        <v>410</v>
      </c>
      <c r="O329" t="str">
        <f t="shared" si="11"/>
        <v>Low</v>
      </c>
    </row>
    <row r="330" spans="1:15" x14ac:dyDescent="0.25">
      <c r="A330" s="5" t="s">
        <v>929</v>
      </c>
      <c r="B330" s="5" t="s">
        <v>701</v>
      </c>
      <c r="C330" s="5" t="s">
        <v>54</v>
      </c>
      <c r="D330" s="5" t="s">
        <v>169</v>
      </c>
      <c r="E330" s="5">
        <v>7.52</v>
      </c>
      <c r="F330" s="5">
        <v>85.5</v>
      </c>
      <c r="G330" s="5">
        <v>78</v>
      </c>
      <c r="H330" s="5">
        <v>0</v>
      </c>
      <c r="I330" s="5" t="s">
        <v>930</v>
      </c>
      <c r="J330" s="5">
        <v>2026</v>
      </c>
      <c r="K330" s="5" t="s">
        <v>34</v>
      </c>
      <c r="L330" s="5" t="s">
        <v>79</v>
      </c>
      <c r="M330" s="6"/>
      <c r="N330">
        <f t="shared" si="10"/>
        <v>274</v>
      </c>
      <c r="O330" t="str">
        <f t="shared" si="11"/>
        <v>Medium</v>
      </c>
    </row>
    <row r="331" spans="1:15" x14ac:dyDescent="0.25">
      <c r="A331" s="5" t="s">
        <v>931</v>
      </c>
      <c r="B331" s="8" t="s">
        <v>913</v>
      </c>
      <c r="C331" s="8" t="s">
        <v>41</v>
      </c>
      <c r="D331" s="8" t="s">
        <v>42</v>
      </c>
      <c r="E331" s="8">
        <v>7.87</v>
      </c>
      <c r="F331" s="8">
        <v>96.7</v>
      </c>
      <c r="G331" s="8">
        <v>63.9</v>
      </c>
      <c r="H331" s="8">
        <v>0</v>
      </c>
      <c r="I331" s="8" t="s">
        <v>932</v>
      </c>
      <c r="J331" s="8">
        <v>2026</v>
      </c>
      <c r="K331" s="8" t="s">
        <v>34</v>
      </c>
      <c r="L331" s="8" t="s">
        <v>79</v>
      </c>
      <c r="M331" s="9"/>
      <c r="N331">
        <f t="shared" si="10"/>
        <v>216</v>
      </c>
      <c r="O331" t="str">
        <f t="shared" si="11"/>
        <v>Medium</v>
      </c>
    </row>
    <row r="332" spans="1:15" x14ac:dyDescent="0.25">
      <c r="A332" s="5" t="s">
        <v>933</v>
      </c>
      <c r="B332" s="5" t="s">
        <v>934</v>
      </c>
      <c r="C332" s="5" t="s">
        <v>22</v>
      </c>
      <c r="D332" s="5" t="s">
        <v>16</v>
      </c>
      <c r="E332" s="5">
        <v>5.95</v>
      </c>
      <c r="F332" s="5">
        <v>69.900000000000006</v>
      </c>
      <c r="G332" s="5">
        <v>56.4</v>
      </c>
      <c r="H332" s="5">
        <v>0</v>
      </c>
      <c r="I332" s="5" t="s">
        <v>935</v>
      </c>
      <c r="J332" s="5">
        <v>2025</v>
      </c>
      <c r="K332" s="5" t="s">
        <v>34</v>
      </c>
      <c r="L332" s="5" t="s">
        <v>79</v>
      </c>
      <c r="M332" s="6"/>
      <c r="N332">
        <f t="shared" si="10"/>
        <v>465</v>
      </c>
      <c r="O332" t="str">
        <f t="shared" si="11"/>
        <v>Low</v>
      </c>
    </row>
    <row r="333" spans="1:15" x14ac:dyDescent="0.25">
      <c r="A333" s="5" t="s">
        <v>936</v>
      </c>
      <c r="B333" s="8" t="s">
        <v>594</v>
      </c>
      <c r="C333" s="8" t="s">
        <v>41</v>
      </c>
      <c r="D333" s="8" t="s">
        <v>28</v>
      </c>
      <c r="E333" s="8">
        <v>6.49</v>
      </c>
      <c r="F333" s="8">
        <v>89.7</v>
      </c>
      <c r="G333" s="8">
        <v>81.7</v>
      </c>
      <c r="H333" s="8">
        <v>0</v>
      </c>
      <c r="I333" s="8" t="s">
        <v>937</v>
      </c>
      <c r="J333" s="8">
        <v>2025</v>
      </c>
      <c r="K333" s="8" t="s">
        <v>34</v>
      </c>
      <c r="L333" s="8" t="s">
        <v>79</v>
      </c>
      <c r="M333" s="9"/>
      <c r="N333">
        <f t="shared" si="10"/>
        <v>406</v>
      </c>
      <c r="O333" t="str">
        <f t="shared" si="11"/>
        <v>Low</v>
      </c>
    </row>
    <row r="334" spans="1:15" x14ac:dyDescent="0.25">
      <c r="A334" s="5" t="s">
        <v>938</v>
      </c>
      <c r="B334" s="5" t="s">
        <v>939</v>
      </c>
      <c r="C334" s="5" t="s">
        <v>41</v>
      </c>
      <c r="D334" s="5" t="s">
        <v>209</v>
      </c>
      <c r="E334" s="5">
        <v>9.32</v>
      </c>
      <c r="F334" s="5">
        <v>73.2</v>
      </c>
      <c r="G334" s="5">
        <v>92.8</v>
      </c>
      <c r="H334" s="5">
        <v>0</v>
      </c>
      <c r="I334" s="5" t="s">
        <v>940</v>
      </c>
      <c r="J334" s="5">
        <v>2025</v>
      </c>
      <c r="K334" s="5" t="s">
        <v>18</v>
      </c>
      <c r="L334" s="5" t="s">
        <v>138</v>
      </c>
      <c r="M334" s="6">
        <v>9</v>
      </c>
      <c r="N334">
        <f t="shared" si="10"/>
        <v>47</v>
      </c>
      <c r="O334" t="str">
        <f t="shared" si="11"/>
        <v>Very High</v>
      </c>
    </row>
    <row r="335" spans="1:15" x14ac:dyDescent="0.25">
      <c r="A335" s="5" t="s">
        <v>941</v>
      </c>
      <c r="B335" s="8" t="s">
        <v>942</v>
      </c>
      <c r="C335" s="8" t="s">
        <v>22</v>
      </c>
      <c r="D335" s="8" t="s">
        <v>16</v>
      </c>
      <c r="E335" s="8">
        <v>6</v>
      </c>
      <c r="F335" s="8">
        <v>85.7</v>
      </c>
      <c r="G335" s="8">
        <v>68.099999999999994</v>
      </c>
      <c r="H335" s="8">
        <v>0</v>
      </c>
      <c r="I335" s="8" t="s">
        <v>866</v>
      </c>
      <c r="J335" s="8">
        <v>2026</v>
      </c>
      <c r="K335" s="8" t="s">
        <v>34</v>
      </c>
      <c r="L335" s="8" t="s">
        <v>79</v>
      </c>
      <c r="M335" s="9"/>
      <c r="N335">
        <f t="shared" si="10"/>
        <v>457</v>
      </c>
      <c r="O335" t="str">
        <f t="shared" si="11"/>
        <v>Low</v>
      </c>
    </row>
    <row r="336" spans="1:15" x14ac:dyDescent="0.25">
      <c r="A336" s="5" t="s">
        <v>943</v>
      </c>
      <c r="B336" s="5" t="s">
        <v>944</v>
      </c>
      <c r="C336" s="5" t="s">
        <v>54</v>
      </c>
      <c r="D336" s="5" t="s">
        <v>169</v>
      </c>
      <c r="E336" s="5">
        <v>8.7799999999999994</v>
      </c>
      <c r="F336" s="5">
        <v>78</v>
      </c>
      <c r="G336" s="5">
        <v>62.1</v>
      </c>
      <c r="H336" s="5">
        <v>0</v>
      </c>
      <c r="I336" s="5" t="s">
        <v>945</v>
      </c>
      <c r="J336" s="5">
        <v>2026</v>
      </c>
      <c r="K336" s="5" t="s">
        <v>34</v>
      </c>
      <c r="L336" s="5" t="s">
        <v>79</v>
      </c>
      <c r="M336" s="6"/>
      <c r="N336">
        <f t="shared" si="10"/>
        <v>111</v>
      </c>
      <c r="O336" t="str">
        <f t="shared" si="11"/>
        <v>High</v>
      </c>
    </row>
    <row r="337" spans="1:15" x14ac:dyDescent="0.25">
      <c r="A337" s="5" t="s">
        <v>946</v>
      </c>
      <c r="B337" s="8" t="s">
        <v>947</v>
      </c>
      <c r="C337" s="8" t="s">
        <v>22</v>
      </c>
      <c r="D337" s="8" t="s">
        <v>16</v>
      </c>
      <c r="E337" s="8">
        <v>6.09</v>
      </c>
      <c r="F337" s="8">
        <v>87.6</v>
      </c>
      <c r="G337" s="8">
        <v>64.900000000000006</v>
      </c>
      <c r="H337" s="8">
        <v>2</v>
      </c>
      <c r="I337" s="8" t="s">
        <v>147</v>
      </c>
      <c r="J337" s="8">
        <v>2026</v>
      </c>
      <c r="K337" s="8" t="s">
        <v>34</v>
      </c>
      <c r="L337" s="8" t="s">
        <v>79</v>
      </c>
      <c r="M337" s="9"/>
      <c r="N337">
        <f t="shared" si="10"/>
        <v>443</v>
      </c>
      <c r="O337" t="str">
        <f t="shared" si="11"/>
        <v>Low</v>
      </c>
    </row>
    <row r="338" spans="1:15" x14ac:dyDescent="0.25">
      <c r="A338" s="5" t="s">
        <v>948</v>
      </c>
      <c r="B338" s="5" t="s">
        <v>949</v>
      </c>
      <c r="C338" s="5" t="s">
        <v>15</v>
      </c>
      <c r="D338" s="5" t="s">
        <v>28</v>
      </c>
      <c r="E338" s="5">
        <v>6.48</v>
      </c>
      <c r="F338" s="5">
        <v>69.7</v>
      </c>
      <c r="G338" s="5">
        <v>87.8</v>
      </c>
      <c r="H338" s="5">
        <v>1</v>
      </c>
      <c r="I338" s="5" t="s">
        <v>950</v>
      </c>
      <c r="J338" s="5">
        <v>2026</v>
      </c>
      <c r="K338" s="5" t="s">
        <v>30</v>
      </c>
      <c r="L338" s="5" t="s">
        <v>79</v>
      </c>
      <c r="M338" s="6"/>
      <c r="N338">
        <f t="shared" si="10"/>
        <v>408</v>
      </c>
      <c r="O338" t="str">
        <f t="shared" si="11"/>
        <v>Low</v>
      </c>
    </row>
    <row r="339" spans="1:15" x14ac:dyDescent="0.25">
      <c r="A339" s="5" t="s">
        <v>951</v>
      </c>
      <c r="B339" s="8" t="s">
        <v>952</v>
      </c>
      <c r="C339" s="8" t="s">
        <v>15</v>
      </c>
      <c r="D339" s="8" t="s">
        <v>62</v>
      </c>
      <c r="E339" s="8">
        <v>6.02</v>
      </c>
      <c r="F339" s="8">
        <v>94.9</v>
      </c>
      <c r="G339" s="8">
        <v>92.6</v>
      </c>
      <c r="H339" s="8">
        <v>1</v>
      </c>
      <c r="I339" s="8" t="s">
        <v>953</v>
      </c>
      <c r="J339" s="8">
        <v>2026</v>
      </c>
      <c r="K339" s="8" t="s">
        <v>18</v>
      </c>
      <c r="L339" s="8" t="s">
        <v>19</v>
      </c>
      <c r="M339" s="9">
        <v>11.2</v>
      </c>
      <c r="N339">
        <f t="shared" si="10"/>
        <v>453</v>
      </c>
      <c r="O339" t="str">
        <f t="shared" si="11"/>
        <v>Low</v>
      </c>
    </row>
    <row r="340" spans="1:15" x14ac:dyDescent="0.25">
      <c r="A340" s="5" t="s">
        <v>954</v>
      </c>
      <c r="B340" s="5" t="s">
        <v>955</v>
      </c>
      <c r="C340" s="5" t="s">
        <v>41</v>
      </c>
      <c r="D340" s="5" t="s">
        <v>28</v>
      </c>
      <c r="E340" s="5">
        <v>7.76</v>
      </c>
      <c r="F340" s="5">
        <v>96.7</v>
      </c>
      <c r="G340" s="5">
        <v>82</v>
      </c>
      <c r="H340" s="5">
        <v>0</v>
      </c>
      <c r="I340" s="5" t="s">
        <v>956</v>
      </c>
      <c r="J340" s="5">
        <v>2025</v>
      </c>
      <c r="K340" s="5" t="s">
        <v>18</v>
      </c>
      <c r="L340" s="5" t="s">
        <v>157</v>
      </c>
      <c r="M340" s="6">
        <v>9.9</v>
      </c>
      <c r="N340">
        <f t="shared" si="10"/>
        <v>235</v>
      </c>
      <c r="O340" t="str">
        <f t="shared" si="11"/>
        <v>Medium</v>
      </c>
    </row>
    <row r="341" spans="1:15" x14ac:dyDescent="0.25">
      <c r="A341" s="5" t="s">
        <v>957</v>
      </c>
      <c r="B341" s="8" t="s">
        <v>542</v>
      </c>
      <c r="C341" s="8" t="s">
        <v>15</v>
      </c>
      <c r="D341" s="8" t="s">
        <v>16</v>
      </c>
      <c r="E341" s="8">
        <v>7.35</v>
      </c>
      <c r="F341" s="8">
        <v>66.400000000000006</v>
      </c>
      <c r="G341" s="8">
        <v>89.2</v>
      </c>
      <c r="H341" s="8">
        <v>0</v>
      </c>
      <c r="I341" s="8" t="s">
        <v>377</v>
      </c>
      <c r="J341" s="8">
        <v>2027</v>
      </c>
      <c r="K341" s="8" t="s">
        <v>34</v>
      </c>
      <c r="L341" s="8" t="s">
        <v>79</v>
      </c>
      <c r="M341" s="9"/>
      <c r="N341">
        <f t="shared" si="10"/>
        <v>294</v>
      </c>
      <c r="O341" t="str">
        <f t="shared" si="11"/>
        <v>Medium</v>
      </c>
    </row>
    <row r="342" spans="1:15" x14ac:dyDescent="0.25">
      <c r="A342" s="5" t="s">
        <v>958</v>
      </c>
      <c r="B342" s="5" t="s">
        <v>880</v>
      </c>
      <c r="C342" s="5" t="s">
        <v>15</v>
      </c>
      <c r="D342" s="5" t="s">
        <v>28</v>
      </c>
      <c r="E342" s="5">
        <v>7.74</v>
      </c>
      <c r="F342" s="5">
        <v>80.099999999999994</v>
      </c>
      <c r="G342" s="5">
        <v>54</v>
      </c>
      <c r="H342" s="5">
        <v>0</v>
      </c>
      <c r="I342" s="5" t="s">
        <v>959</v>
      </c>
      <c r="J342" s="5">
        <v>2026</v>
      </c>
      <c r="K342" s="5" t="s">
        <v>30</v>
      </c>
      <c r="L342" s="5" t="s">
        <v>79</v>
      </c>
      <c r="M342" s="6"/>
      <c r="N342">
        <f t="shared" si="10"/>
        <v>242</v>
      </c>
      <c r="O342" t="str">
        <f t="shared" si="11"/>
        <v>Medium</v>
      </c>
    </row>
    <row r="343" spans="1:15" x14ac:dyDescent="0.25">
      <c r="A343" s="5" t="s">
        <v>960</v>
      </c>
      <c r="B343" s="8" t="s">
        <v>961</v>
      </c>
      <c r="C343" s="8" t="s">
        <v>41</v>
      </c>
      <c r="D343" s="8" t="s">
        <v>209</v>
      </c>
      <c r="E343" s="8">
        <v>7.22</v>
      </c>
      <c r="F343" s="8">
        <v>67.7</v>
      </c>
      <c r="G343" s="8">
        <v>95.8</v>
      </c>
      <c r="H343" s="8">
        <v>2</v>
      </c>
      <c r="I343" s="8" t="s">
        <v>962</v>
      </c>
      <c r="J343" s="8">
        <v>2027</v>
      </c>
      <c r="K343" s="8" t="s">
        <v>34</v>
      </c>
      <c r="L343" s="8" t="s">
        <v>79</v>
      </c>
      <c r="M343" s="9"/>
      <c r="N343">
        <f t="shared" si="10"/>
        <v>312</v>
      </c>
      <c r="O343" t="str">
        <f t="shared" si="11"/>
        <v>Medium</v>
      </c>
    </row>
    <row r="344" spans="1:15" x14ac:dyDescent="0.25">
      <c r="A344" s="5" t="s">
        <v>963</v>
      </c>
      <c r="B344" s="5" t="s">
        <v>117</v>
      </c>
      <c r="C344" s="5" t="s">
        <v>41</v>
      </c>
      <c r="D344" s="5" t="s">
        <v>28</v>
      </c>
      <c r="E344" s="5">
        <v>8.43</v>
      </c>
      <c r="F344" s="5">
        <v>58.7</v>
      </c>
      <c r="G344" s="5">
        <v>67.599999999999994</v>
      </c>
      <c r="H344" s="5">
        <v>2</v>
      </c>
      <c r="I344" s="5" t="s">
        <v>964</v>
      </c>
      <c r="J344" s="5">
        <v>2026</v>
      </c>
      <c r="K344" s="5" t="s">
        <v>18</v>
      </c>
      <c r="L344" s="5" t="s">
        <v>59</v>
      </c>
      <c r="M344" s="6">
        <v>6.8</v>
      </c>
      <c r="N344">
        <f t="shared" si="10"/>
        <v>150</v>
      </c>
      <c r="O344" t="str">
        <f t="shared" si="11"/>
        <v>High</v>
      </c>
    </row>
    <row r="345" spans="1:15" x14ac:dyDescent="0.25">
      <c r="A345" s="5" t="s">
        <v>965</v>
      </c>
      <c r="B345" s="8" t="s">
        <v>942</v>
      </c>
      <c r="C345" s="8" t="s">
        <v>22</v>
      </c>
      <c r="D345" s="8" t="s">
        <v>23</v>
      </c>
      <c r="E345" s="8">
        <v>6.35</v>
      </c>
      <c r="F345" s="8">
        <v>77.7</v>
      </c>
      <c r="G345" s="8">
        <v>86.8</v>
      </c>
      <c r="H345" s="8">
        <v>1</v>
      </c>
      <c r="I345" s="8" t="s">
        <v>966</v>
      </c>
      <c r="J345" s="8">
        <v>2025</v>
      </c>
      <c r="K345" s="8" t="s">
        <v>34</v>
      </c>
      <c r="L345" s="8" t="s">
        <v>79</v>
      </c>
      <c r="M345" s="9"/>
      <c r="N345">
        <f t="shared" si="10"/>
        <v>421</v>
      </c>
      <c r="O345" t="str">
        <f t="shared" si="11"/>
        <v>Low</v>
      </c>
    </row>
    <row r="346" spans="1:15" x14ac:dyDescent="0.25">
      <c r="A346" s="5" t="s">
        <v>967</v>
      </c>
      <c r="B346" s="5" t="s">
        <v>968</v>
      </c>
      <c r="C346" s="5" t="s">
        <v>15</v>
      </c>
      <c r="D346" s="5" t="s">
        <v>16</v>
      </c>
      <c r="E346" s="5">
        <v>7.07</v>
      </c>
      <c r="F346" s="5">
        <v>91.9</v>
      </c>
      <c r="G346" s="5">
        <v>83.4</v>
      </c>
      <c r="H346" s="5">
        <v>0</v>
      </c>
      <c r="I346" s="5" t="s">
        <v>969</v>
      </c>
      <c r="J346" s="5">
        <v>2027</v>
      </c>
      <c r="K346" s="5" t="s">
        <v>18</v>
      </c>
      <c r="L346" s="5" t="s">
        <v>25</v>
      </c>
      <c r="M346" s="6">
        <v>5.2</v>
      </c>
      <c r="N346">
        <f t="shared" si="10"/>
        <v>328</v>
      </c>
      <c r="O346" t="str">
        <f t="shared" si="11"/>
        <v>Medium</v>
      </c>
    </row>
    <row r="347" spans="1:15" x14ac:dyDescent="0.25">
      <c r="A347" s="5" t="s">
        <v>970</v>
      </c>
      <c r="B347" s="8" t="s">
        <v>971</v>
      </c>
      <c r="C347" s="8" t="s">
        <v>15</v>
      </c>
      <c r="D347" s="8" t="s">
        <v>62</v>
      </c>
      <c r="E347" s="8">
        <v>8.27</v>
      </c>
      <c r="F347" s="8">
        <v>80.400000000000006</v>
      </c>
      <c r="G347" s="8">
        <v>78.2</v>
      </c>
      <c r="H347" s="8">
        <v>0</v>
      </c>
      <c r="I347" s="8" t="s">
        <v>972</v>
      </c>
      <c r="J347" s="8">
        <v>2026</v>
      </c>
      <c r="K347" s="8" t="s">
        <v>18</v>
      </c>
      <c r="L347" s="8" t="s">
        <v>518</v>
      </c>
      <c r="M347" s="9">
        <v>12.3</v>
      </c>
      <c r="N347">
        <f t="shared" si="10"/>
        <v>172</v>
      </c>
      <c r="O347" t="str">
        <f t="shared" si="11"/>
        <v>High</v>
      </c>
    </row>
    <row r="348" spans="1:15" x14ac:dyDescent="0.25">
      <c r="A348" s="5" t="s">
        <v>973</v>
      </c>
      <c r="B348" s="5" t="s">
        <v>419</v>
      </c>
      <c r="C348" s="5" t="s">
        <v>22</v>
      </c>
      <c r="D348" s="5" t="s">
        <v>118</v>
      </c>
      <c r="E348" s="5">
        <v>7.77</v>
      </c>
      <c r="F348" s="5">
        <v>60.8</v>
      </c>
      <c r="G348" s="5">
        <v>58.9</v>
      </c>
      <c r="H348" s="5">
        <v>0</v>
      </c>
      <c r="I348" s="5" t="s">
        <v>652</v>
      </c>
      <c r="J348" s="5">
        <v>2026</v>
      </c>
      <c r="K348" s="5" t="s">
        <v>34</v>
      </c>
      <c r="L348" s="5" t="s">
        <v>79</v>
      </c>
      <c r="M348" s="6"/>
      <c r="N348">
        <f t="shared" si="10"/>
        <v>233</v>
      </c>
      <c r="O348" t="str">
        <f t="shared" si="11"/>
        <v>Medium</v>
      </c>
    </row>
    <row r="349" spans="1:15" x14ac:dyDescent="0.25">
      <c r="A349" s="5" t="s">
        <v>974</v>
      </c>
      <c r="B349" s="8" t="s">
        <v>143</v>
      </c>
      <c r="C349" s="8" t="s">
        <v>15</v>
      </c>
      <c r="D349" s="8" t="s">
        <v>16</v>
      </c>
      <c r="E349" s="8">
        <v>9.51</v>
      </c>
      <c r="F349" s="8">
        <v>96.4</v>
      </c>
      <c r="G349" s="8">
        <v>89.9</v>
      </c>
      <c r="H349" s="8">
        <v>0</v>
      </c>
      <c r="I349" s="8" t="s">
        <v>975</v>
      </c>
      <c r="J349" s="8">
        <v>2026</v>
      </c>
      <c r="K349" s="8" t="s">
        <v>18</v>
      </c>
      <c r="L349" s="8" t="s">
        <v>108</v>
      </c>
      <c r="M349" s="9">
        <v>7.3</v>
      </c>
      <c r="N349">
        <f t="shared" si="10"/>
        <v>32</v>
      </c>
      <c r="O349" t="str">
        <f t="shared" si="11"/>
        <v>Very High</v>
      </c>
    </row>
    <row r="350" spans="1:15" x14ac:dyDescent="0.25">
      <c r="A350" s="5" t="s">
        <v>976</v>
      </c>
      <c r="B350" s="5" t="s">
        <v>977</v>
      </c>
      <c r="C350" s="5" t="s">
        <v>15</v>
      </c>
      <c r="D350" s="5" t="s">
        <v>62</v>
      </c>
      <c r="E350" s="5">
        <v>6.24</v>
      </c>
      <c r="F350" s="5">
        <v>74.2</v>
      </c>
      <c r="G350" s="5">
        <v>90.4</v>
      </c>
      <c r="H350" s="5">
        <v>1</v>
      </c>
      <c r="I350" s="5" t="s">
        <v>978</v>
      </c>
      <c r="J350" s="5">
        <v>2027</v>
      </c>
      <c r="K350" s="5" t="s">
        <v>18</v>
      </c>
      <c r="L350" s="5" t="s">
        <v>70</v>
      </c>
      <c r="M350" s="6">
        <v>8.8000000000000007</v>
      </c>
      <c r="N350">
        <f t="shared" si="10"/>
        <v>429</v>
      </c>
      <c r="O350" t="str">
        <f t="shared" si="11"/>
        <v>Low</v>
      </c>
    </row>
    <row r="351" spans="1:15" x14ac:dyDescent="0.25">
      <c r="A351" s="5" t="s">
        <v>979</v>
      </c>
      <c r="B351" s="8" t="s">
        <v>980</v>
      </c>
      <c r="C351" s="8" t="s">
        <v>22</v>
      </c>
      <c r="D351" s="8" t="s">
        <v>118</v>
      </c>
      <c r="E351" s="8">
        <v>7.56</v>
      </c>
      <c r="F351" s="8">
        <v>92.1</v>
      </c>
      <c r="G351" s="8">
        <v>85.6</v>
      </c>
      <c r="H351" s="8">
        <v>0</v>
      </c>
      <c r="I351" s="8" t="s">
        <v>981</v>
      </c>
      <c r="J351" s="8">
        <v>2026</v>
      </c>
      <c r="K351" s="8" t="s">
        <v>34</v>
      </c>
      <c r="L351" s="8" t="s">
        <v>79</v>
      </c>
      <c r="M351" s="9"/>
      <c r="N351">
        <f t="shared" si="10"/>
        <v>267</v>
      </c>
      <c r="O351" t="str">
        <f t="shared" si="11"/>
        <v>Medium</v>
      </c>
    </row>
    <row r="352" spans="1:15" x14ac:dyDescent="0.25">
      <c r="A352" s="5" t="s">
        <v>982</v>
      </c>
      <c r="B352" s="5" t="s">
        <v>313</v>
      </c>
      <c r="C352" s="5" t="s">
        <v>15</v>
      </c>
      <c r="D352" s="5" t="s">
        <v>62</v>
      </c>
      <c r="E352" s="5">
        <v>7.8</v>
      </c>
      <c r="F352" s="5">
        <v>62.6</v>
      </c>
      <c r="G352" s="5">
        <v>76.900000000000006</v>
      </c>
      <c r="H352" s="5">
        <v>1</v>
      </c>
      <c r="I352" s="5" t="s">
        <v>983</v>
      </c>
      <c r="J352" s="5">
        <v>2026</v>
      </c>
      <c r="K352" s="5" t="s">
        <v>18</v>
      </c>
      <c r="L352" s="5" t="s">
        <v>59</v>
      </c>
      <c r="M352" s="6">
        <v>12.9</v>
      </c>
      <c r="N352">
        <f t="shared" si="10"/>
        <v>226</v>
      </c>
      <c r="O352" t="str">
        <f t="shared" si="11"/>
        <v>Medium</v>
      </c>
    </row>
    <row r="353" spans="1:15" x14ac:dyDescent="0.25">
      <c r="A353" s="5" t="s">
        <v>984</v>
      </c>
      <c r="B353" s="8" t="s">
        <v>985</v>
      </c>
      <c r="C353" s="8" t="s">
        <v>54</v>
      </c>
      <c r="D353" s="8" t="s">
        <v>42</v>
      </c>
      <c r="E353" s="8">
        <v>6.8</v>
      </c>
      <c r="F353" s="8">
        <v>84.1</v>
      </c>
      <c r="G353" s="8">
        <v>91.7</v>
      </c>
      <c r="H353" s="8">
        <v>1</v>
      </c>
      <c r="I353" s="8" t="s">
        <v>666</v>
      </c>
      <c r="J353" s="8">
        <v>2026</v>
      </c>
      <c r="K353" s="8" t="s">
        <v>34</v>
      </c>
      <c r="L353" s="8" t="s">
        <v>79</v>
      </c>
      <c r="M353" s="9"/>
      <c r="N353">
        <f t="shared" si="10"/>
        <v>362</v>
      </c>
      <c r="O353" t="str">
        <f t="shared" si="11"/>
        <v>Low</v>
      </c>
    </row>
    <row r="354" spans="1:15" x14ac:dyDescent="0.25">
      <c r="A354" s="5" t="s">
        <v>986</v>
      </c>
      <c r="B354" s="5" t="s">
        <v>162</v>
      </c>
      <c r="C354" s="5" t="s">
        <v>22</v>
      </c>
      <c r="D354" s="5" t="s">
        <v>118</v>
      </c>
      <c r="E354" s="5">
        <v>8</v>
      </c>
      <c r="F354" s="5">
        <v>56.8</v>
      </c>
      <c r="G354" s="5">
        <v>57.9</v>
      </c>
      <c r="H354" s="5">
        <v>0</v>
      </c>
      <c r="I354" s="5" t="s">
        <v>987</v>
      </c>
      <c r="J354" s="5">
        <v>2026</v>
      </c>
      <c r="K354" s="5" t="s">
        <v>18</v>
      </c>
      <c r="L354" s="5" t="s">
        <v>188</v>
      </c>
      <c r="M354" s="6">
        <v>6.5</v>
      </c>
      <c r="N354">
        <f t="shared" si="10"/>
        <v>206</v>
      </c>
      <c r="O354" t="str">
        <f t="shared" si="11"/>
        <v>High</v>
      </c>
    </row>
    <row r="355" spans="1:15" x14ac:dyDescent="0.25">
      <c r="A355" s="5" t="s">
        <v>988</v>
      </c>
      <c r="B355" s="8" t="s">
        <v>707</v>
      </c>
      <c r="C355" s="8" t="s">
        <v>41</v>
      </c>
      <c r="D355" s="8" t="s">
        <v>46</v>
      </c>
      <c r="E355" s="8">
        <v>6.27</v>
      </c>
      <c r="F355" s="8">
        <v>60.5</v>
      </c>
      <c r="G355" s="8">
        <v>59.3</v>
      </c>
      <c r="H355" s="8">
        <v>0</v>
      </c>
      <c r="I355" s="8" t="s">
        <v>989</v>
      </c>
      <c r="J355" s="8">
        <v>2026</v>
      </c>
      <c r="K355" s="8" t="s">
        <v>30</v>
      </c>
      <c r="L355" s="8" t="s">
        <v>79</v>
      </c>
      <c r="M355" s="9"/>
      <c r="N355">
        <f t="shared" si="10"/>
        <v>425</v>
      </c>
      <c r="O355" t="str">
        <f t="shared" si="11"/>
        <v>Low</v>
      </c>
    </row>
    <row r="356" spans="1:15" x14ac:dyDescent="0.25">
      <c r="A356" s="5" t="s">
        <v>990</v>
      </c>
      <c r="B356" s="5" t="s">
        <v>991</v>
      </c>
      <c r="C356" s="5" t="s">
        <v>22</v>
      </c>
      <c r="D356" s="5" t="s">
        <v>16</v>
      </c>
      <c r="E356" s="5">
        <v>8.16</v>
      </c>
      <c r="F356" s="5">
        <v>75</v>
      </c>
      <c r="G356" s="5">
        <v>68.900000000000006</v>
      </c>
      <c r="H356" s="5">
        <v>0</v>
      </c>
      <c r="I356" s="5" t="s">
        <v>810</v>
      </c>
      <c r="J356" s="5">
        <v>2026</v>
      </c>
      <c r="K356" s="5" t="s">
        <v>34</v>
      </c>
      <c r="L356" s="5" t="s">
        <v>79</v>
      </c>
      <c r="M356" s="6"/>
      <c r="N356">
        <f t="shared" si="10"/>
        <v>186</v>
      </c>
      <c r="O356" t="str">
        <f t="shared" si="11"/>
        <v>High</v>
      </c>
    </row>
    <row r="357" spans="1:15" x14ac:dyDescent="0.25">
      <c r="A357" s="5" t="s">
        <v>992</v>
      </c>
      <c r="B357" s="8" t="s">
        <v>368</v>
      </c>
      <c r="C357" s="8" t="s">
        <v>22</v>
      </c>
      <c r="D357" s="8" t="s">
        <v>16</v>
      </c>
      <c r="E357" s="8">
        <v>8.41</v>
      </c>
      <c r="F357" s="8">
        <v>56.5</v>
      </c>
      <c r="G357" s="8">
        <v>89.3</v>
      </c>
      <c r="H357" s="8">
        <v>0</v>
      </c>
      <c r="I357" s="8" t="s">
        <v>993</v>
      </c>
      <c r="J357" s="8">
        <v>2026</v>
      </c>
      <c r="K357" s="8" t="s">
        <v>18</v>
      </c>
      <c r="L357" s="8" t="s">
        <v>95</v>
      </c>
      <c r="M357" s="9">
        <v>6.3</v>
      </c>
      <c r="N357">
        <f t="shared" si="10"/>
        <v>153</v>
      </c>
      <c r="O357" t="str">
        <f t="shared" si="11"/>
        <v>High</v>
      </c>
    </row>
    <row r="358" spans="1:15" x14ac:dyDescent="0.25">
      <c r="A358" s="5" t="s">
        <v>994</v>
      </c>
      <c r="B358" s="5" t="s">
        <v>110</v>
      </c>
      <c r="C358" s="5" t="s">
        <v>22</v>
      </c>
      <c r="D358" s="5" t="s">
        <v>118</v>
      </c>
      <c r="E358" s="5">
        <v>8.8000000000000007</v>
      </c>
      <c r="F358" s="5">
        <v>70.099999999999994</v>
      </c>
      <c r="G358" s="5">
        <v>51.6</v>
      </c>
      <c r="H358" s="5">
        <v>0</v>
      </c>
      <c r="I358" s="5" t="s">
        <v>995</v>
      </c>
      <c r="J358" s="5">
        <v>2026</v>
      </c>
      <c r="K358" s="5" t="s">
        <v>18</v>
      </c>
      <c r="L358" s="5" t="s">
        <v>188</v>
      </c>
      <c r="M358" s="6">
        <v>8.3000000000000007</v>
      </c>
      <c r="N358">
        <f t="shared" si="10"/>
        <v>106</v>
      </c>
      <c r="O358" t="str">
        <f t="shared" si="11"/>
        <v>High</v>
      </c>
    </row>
    <row r="359" spans="1:15" x14ac:dyDescent="0.25">
      <c r="A359" s="5" t="s">
        <v>996</v>
      </c>
      <c r="B359" s="8" t="s">
        <v>257</v>
      </c>
      <c r="C359" s="8" t="s">
        <v>41</v>
      </c>
      <c r="D359" s="8" t="s">
        <v>28</v>
      </c>
      <c r="E359" s="8">
        <v>7.9</v>
      </c>
      <c r="F359" s="8">
        <v>84.2</v>
      </c>
      <c r="G359" s="8">
        <v>78.2</v>
      </c>
      <c r="H359" s="8">
        <v>0</v>
      </c>
      <c r="I359" s="8" t="s">
        <v>535</v>
      </c>
      <c r="J359" s="8">
        <v>2026</v>
      </c>
      <c r="K359" s="8" t="s">
        <v>34</v>
      </c>
      <c r="L359" s="8" t="s">
        <v>79</v>
      </c>
      <c r="M359" s="9"/>
      <c r="N359">
        <f t="shared" si="10"/>
        <v>214</v>
      </c>
      <c r="O359" t="str">
        <f t="shared" si="11"/>
        <v>Medium</v>
      </c>
    </row>
    <row r="360" spans="1:15" x14ac:dyDescent="0.25">
      <c r="A360" s="5" t="s">
        <v>997</v>
      </c>
      <c r="B360" s="5" t="s">
        <v>998</v>
      </c>
      <c r="C360" s="5" t="s">
        <v>41</v>
      </c>
      <c r="D360" s="5" t="s">
        <v>46</v>
      </c>
      <c r="E360" s="5">
        <v>8.26</v>
      </c>
      <c r="F360" s="5">
        <v>75.8</v>
      </c>
      <c r="G360" s="5">
        <v>83.5</v>
      </c>
      <c r="H360" s="5">
        <v>0</v>
      </c>
      <c r="I360" s="5" t="s">
        <v>999</v>
      </c>
      <c r="J360" s="5">
        <v>2027</v>
      </c>
      <c r="K360" s="5" t="s">
        <v>18</v>
      </c>
      <c r="L360" s="5" t="s">
        <v>115</v>
      </c>
      <c r="M360" s="6">
        <v>8.1999999999999993</v>
      </c>
      <c r="N360">
        <f t="shared" si="10"/>
        <v>174</v>
      </c>
      <c r="O360" t="str">
        <f t="shared" si="11"/>
        <v>High</v>
      </c>
    </row>
    <row r="361" spans="1:15" x14ac:dyDescent="0.25">
      <c r="A361" s="5" t="s">
        <v>1000</v>
      </c>
      <c r="B361" s="8" t="s">
        <v>1001</v>
      </c>
      <c r="C361" s="8" t="s">
        <v>22</v>
      </c>
      <c r="D361" s="8" t="s">
        <v>23</v>
      </c>
      <c r="E361" s="8">
        <v>9.8000000000000007</v>
      </c>
      <c r="F361" s="8">
        <v>72.400000000000006</v>
      </c>
      <c r="G361" s="8">
        <v>65.400000000000006</v>
      </c>
      <c r="H361" s="8">
        <v>0</v>
      </c>
      <c r="I361" s="8" t="s">
        <v>874</v>
      </c>
      <c r="J361" s="8">
        <v>2026</v>
      </c>
      <c r="K361" s="8" t="s">
        <v>18</v>
      </c>
      <c r="L361" s="8" t="s">
        <v>188</v>
      </c>
      <c r="M361" s="9">
        <v>8.6999999999999993</v>
      </c>
      <c r="N361">
        <f t="shared" si="10"/>
        <v>1</v>
      </c>
      <c r="O361" t="str">
        <f t="shared" si="11"/>
        <v>Very High</v>
      </c>
    </row>
    <row r="362" spans="1:15" x14ac:dyDescent="0.25">
      <c r="A362" s="5" t="s">
        <v>1002</v>
      </c>
      <c r="B362" s="5" t="s">
        <v>710</v>
      </c>
      <c r="C362" s="5" t="s">
        <v>15</v>
      </c>
      <c r="D362" s="5" t="s">
        <v>62</v>
      </c>
      <c r="E362" s="5">
        <v>7.13</v>
      </c>
      <c r="F362" s="5">
        <v>71.599999999999994</v>
      </c>
      <c r="G362" s="5">
        <v>76.2</v>
      </c>
      <c r="H362" s="5">
        <v>2</v>
      </c>
      <c r="I362" s="5" t="s">
        <v>1003</v>
      </c>
      <c r="J362" s="5">
        <v>2027</v>
      </c>
      <c r="K362" s="5" t="s">
        <v>34</v>
      </c>
      <c r="L362" s="5" t="s">
        <v>79</v>
      </c>
      <c r="M362" s="6"/>
      <c r="N362">
        <f t="shared" si="10"/>
        <v>318</v>
      </c>
      <c r="O362" t="str">
        <f t="shared" si="11"/>
        <v>Medium</v>
      </c>
    </row>
    <row r="363" spans="1:15" x14ac:dyDescent="0.25">
      <c r="A363" s="5" t="s">
        <v>1004</v>
      </c>
      <c r="B363" s="8" t="s">
        <v>1005</v>
      </c>
      <c r="C363" s="8" t="s">
        <v>22</v>
      </c>
      <c r="D363" s="8" t="s">
        <v>118</v>
      </c>
      <c r="E363" s="8">
        <v>6.42</v>
      </c>
      <c r="F363" s="8">
        <v>74.3</v>
      </c>
      <c r="G363" s="8">
        <v>89.8</v>
      </c>
      <c r="H363" s="8">
        <v>1</v>
      </c>
      <c r="I363" s="8" t="s">
        <v>1006</v>
      </c>
      <c r="J363" s="8">
        <v>2026</v>
      </c>
      <c r="K363" s="8" t="s">
        <v>34</v>
      </c>
      <c r="L363" s="8" t="s">
        <v>79</v>
      </c>
      <c r="M363" s="9"/>
      <c r="N363">
        <f t="shared" si="10"/>
        <v>414</v>
      </c>
      <c r="O363" t="str">
        <f t="shared" si="11"/>
        <v>Low</v>
      </c>
    </row>
    <row r="364" spans="1:15" x14ac:dyDescent="0.25">
      <c r="A364" s="5" t="s">
        <v>1007</v>
      </c>
      <c r="B364" s="5" t="s">
        <v>1008</v>
      </c>
      <c r="C364" s="5" t="s">
        <v>41</v>
      </c>
      <c r="D364" s="5" t="s">
        <v>209</v>
      </c>
      <c r="E364" s="5">
        <v>6.06</v>
      </c>
      <c r="F364" s="5">
        <v>61.3</v>
      </c>
      <c r="G364" s="5">
        <v>88.7</v>
      </c>
      <c r="H364" s="5">
        <v>0</v>
      </c>
      <c r="I364" s="5" t="s">
        <v>1009</v>
      </c>
      <c r="J364" s="5">
        <v>2025</v>
      </c>
      <c r="K364" s="5" t="s">
        <v>34</v>
      </c>
      <c r="L364" s="5" t="s">
        <v>79</v>
      </c>
      <c r="M364" s="6"/>
      <c r="N364">
        <f t="shared" si="10"/>
        <v>449</v>
      </c>
      <c r="O364" t="str">
        <f t="shared" si="11"/>
        <v>Low</v>
      </c>
    </row>
    <row r="365" spans="1:15" x14ac:dyDescent="0.25">
      <c r="A365" s="5" t="s">
        <v>1010</v>
      </c>
      <c r="B365" s="8" t="s">
        <v>1011</v>
      </c>
      <c r="C365" s="8" t="s">
        <v>15</v>
      </c>
      <c r="D365" s="8" t="s">
        <v>28</v>
      </c>
      <c r="E365" s="8">
        <v>7.46</v>
      </c>
      <c r="F365" s="8">
        <v>75.900000000000006</v>
      </c>
      <c r="G365" s="8">
        <v>60.9</v>
      </c>
      <c r="H365" s="8">
        <v>0</v>
      </c>
      <c r="I365" s="8" t="s">
        <v>1012</v>
      </c>
      <c r="J365" s="8">
        <v>2025</v>
      </c>
      <c r="K365" s="8" t="s">
        <v>34</v>
      </c>
      <c r="L365" s="8" t="s">
        <v>79</v>
      </c>
      <c r="M365" s="9"/>
      <c r="N365">
        <f t="shared" si="10"/>
        <v>279</v>
      </c>
      <c r="O365" t="str">
        <f t="shared" si="11"/>
        <v>Medium</v>
      </c>
    </row>
    <row r="366" spans="1:15" x14ac:dyDescent="0.25">
      <c r="A366" s="5" t="s">
        <v>1013</v>
      </c>
      <c r="B366" s="5" t="s">
        <v>1014</v>
      </c>
      <c r="C366" s="5" t="s">
        <v>54</v>
      </c>
      <c r="D366" s="5" t="s">
        <v>169</v>
      </c>
      <c r="E366" s="5">
        <v>5.9</v>
      </c>
      <c r="F366" s="5">
        <v>75.3</v>
      </c>
      <c r="G366" s="5">
        <v>73</v>
      </c>
      <c r="H366" s="5">
        <v>0</v>
      </c>
      <c r="I366" s="5" t="s">
        <v>1015</v>
      </c>
      <c r="J366" s="5">
        <v>2026</v>
      </c>
      <c r="K366" s="5" t="s">
        <v>30</v>
      </c>
      <c r="L366" s="5" t="s">
        <v>79</v>
      </c>
      <c r="M366" s="6"/>
      <c r="N366">
        <f t="shared" si="10"/>
        <v>470</v>
      </c>
      <c r="O366" t="str">
        <f t="shared" si="11"/>
        <v>Low</v>
      </c>
    </row>
    <row r="367" spans="1:15" x14ac:dyDescent="0.25">
      <c r="A367" s="5" t="s">
        <v>1016</v>
      </c>
      <c r="B367" s="8" t="s">
        <v>365</v>
      </c>
      <c r="C367" s="8" t="s">
        <v>15</v>
      </c>
      <c r="D367" s="8" t="s">
        <v>28</v>
      </c>
      <c r="E367" s="8">
        <v>7.35</v>
      </c>
      <c r="F367" s="8">
        <v>91.3</v>
      </c>
      <c r="G367" s="8">
        <v>55.3</v>
      </c>
      <c r="H367" s="8">
        <v>0</v>
      </c>
      <c r="I367" s="8" t="s">
        <v>1017</v>
      </c>
      <c r="J367" s="8">
        <v>2026</v>
      </c>
      <c r="K367" s="8" t="s">
        <v>34</v>
      </c>
      <c r="L367" s="8" t="s">
        <v>79</v>
      </c>
      <c r="M367" s="9"/>
      <c r="N367">
        <f t="shared" si="10"/>
        <v>294</v>
      </c>
      <c r="O367" t="str">
        <f t="shared" si="11"/>
        <v>Medium</v>
      </c>
    </row>
    <row r="368" spans="1:15" x14ac:dyDescent="0.25">
      <c r="A368" s="5" t="s">
        <v>1018</v>
      </c>
      <c r="B368" s="5" t="s">
        <v>254</v>
      </c>
      <c r="C368" s="5" t="s">
        <v>15</v>
      </c>
      <c r="D368" s="5" t="s">
        <v>62</v>
      </c>
      <c r="E368" s="5">
        <v>8.83</v>
      </c>
      <c r="F368" s="5">
        <v>81.8</v>
      </c>
      <c r="G368" s="5">
        <v>59.7</v>
      </c>
      <c r="H368" s="5">
        <v>0</v>
      </c>
      <c r="I368" s="5" t="s">
        <v>1019</v>
      </c>
      <c r="J368" s="5">
        <v>2026</v>
      </c>
      <c r="K368" s="5" t="s">
        <v>18</v>
      </c>
      <c r="L368" s="5" t="s">
        <v>308</v>
      </c>
      <c r="M368" s="6">
        <v>4.9000000000000004</v>
      </c>
      <c r="N368">
        <f t="shared" si="10"/>
        <v>99</v>
      </c>
      <c r="O368" t="str">
        <f t="shared" si="11"/>
        <v>High</v>
      </c>
    </row>
    <row r="369" spans="1:15" x14ac:dyDescent="0.25">
      <c r="A369" s="5" t="s">
        <v>1020</v>
      </c>
      <c r="B369" s="8" t="s">
        <v>130</v>
      </c>
      <c r="C369" s="8" t="s">
        <v>15</v>
      </c>
      <c r="D369" s="8" t="s">
        <v>16</v>
      </c>
      <c r="E369" s="8">
        <v>7.97</v>
      </c>
      <c r="F369" s="8">
        <v>78.099999999999994</v>
      </c>
      <c r="G369" s="8">
        <v>62.5</v>
      </c>
      <c r="H369" s="8">
        <v>2</v>
      </c>
      <c r="I369" s="8" t="s">
        <v>1021</v>
      </c>
      <c r="J369" s="8">
        <v>2026</v>
      </c>
      <c r="K369" s="8" t="s">
        <v>30</v>
      </c>
      <c r="L369" s="8" t="s">
        <v>79</v>
      </c>
      <c r="M369" s="9"/>
      <c r="N369">
        <f t="shared" si="10"/>
        <v>208</v>
      </c>
      <c r="O369" t="str">
        <f t="shared" si="11"/>
        <v>Medium</v>
      </c>
    </row>
    <row r="370" spans="1:15" x14ac:dyDescent="0.25">
      <c r="A370" s="5" t="s">
        <v>1022</v>
      </c>
      <c r="B370" s="5" t="s">
        <v>1023</v>
      </c>
      <c r="C370" s="5" t="s">
        <v>22</v>
      </c>
      <c r="D370" s="5" t="s">
        <v>16</v>
      </c>
      <c r="E370" s="5">
        <v>7.68</v>
      </c>
      <c r="F370" s="5">
        <v>83.4</v>
      </c>
      <c r="G370" s="5">
        <v>72.2</v>
      </c>
      <c r="H370" s="5">
        <v>0</v>
      </c>
      <c r="I370" s="5" t="s">
        <v>1024</v>
      </c>
      <c r="J370" s="5">
        <v>2026</v>
      </c>
      <c r="K370" s="5" t="s">
        <v>30</v>
      </c>
      <c r="L370" s="5" t="s">
        <v>79</v>
      </c>
      <c r="M370" s="6"/>
      <c r="N370">
        <f t="shared" si="10"/>
        <v>246</v>
      </c>
      <c r="O370" t="str">
        <f t="shared" si="11"/>
        <v>Medium</v>
      </c>
    </row>
    <row r="371" spans="1:15" x14ac:dyDescent="0.25">
      <c r="A371" s="5" t="s">
        <v>1025</v>
      </c>
      <c r="B371" s="8" t="s">
        <v>371</v>
      </c>
      <c r="C371" s="8" t="s">
        <v>15</v>
      </c>
      <c r="D371" s="8" t="s">
        <v>28</v>
      </c>
      <c r="E371" s="8">
        <v>8.07</v>
      </c>
      <c r="F371" s="8">
        <v>58.9</v>
      </c>
      <c r="G371" s="8">
        <v>86.9</v>
      </c>
      <c r="H371" s="8">
        <v>0</v>
      </c>
      <c r="I371" s="8" t="s">
        <v>535</v>
      </c>
      <c r="J371" s="8">
        <v>2026</v>
      </c>
      <c r="K371" s="8" t="s">
        <v>34</v>
      </c>
      <c r="L371" s="8" t="s">
        <v>79</v>
      </c>
      <c r="M371" s="9"/>
      <c r="N371">
        <f t="shared" si="10"/>
        <v>198</v>
      </c>
      <c r="O371" t="str">
        <f t="shared" si="11"/>
        <v>High</v>
      </c>
    </row>
    <row r="372" spans="1:15" x14ac:dyDescent="0.25">
      <c r="A372" s="5" t="s">
        <v>1026</v>
      </c>
      <c r="B372" s="5" t="s">
        <v>523</v>
      </c>
      <c r="C372" s="5" t="s">
        <v>22</v>
      </c>
      <c r="D372" s="5" t="s">
        <v>16</v>
      </c>
      <c r="E372" s="5">
        <v>9.24</v>
      </c>
      <c r="F372" s="5">
        <v>80.900000000000006</v>
      </c>
      <c r="G372" s="5">
        <v>92</v>
      </c>
      <c r="H372" s="5">
        <v>0</v>
      </c>
      <c r="I372" s="5" t="s">
        <v>1027</v>
      </c>
      <c r="J372" s="5">
        <v>2025</v>
      </c>
      <c r="K372" s="5" t="s">
        <v>18</v>
      </c>
      <c r="L372" s="5" t="s">
        <v>259</v>
      </c>
      <c r="M372" s="6">
        <v>8.1999999999999993</v>
      </c>
      <c r="N372">
        <f t="shared" si="10"/>
        <v>54</v>
      </c>
      <c r="O372" t="str">
        <f t="shared" si="11"/>
        <v>Very High</v>
      </c>
    </row>
    <row r="373" spans="1:15" x14ac:dyDescent="0.25">
      <c r="A373" s="5" t="s">
        <v>1028</v>
      </c>
      <c r="B373" s="8" t="s">
        <v>892</v>
      </c>
      <c r="C373" s="8" t="s">
        <v>41</v>
      </c>
      <c r="D373" s="8" t="s">
        <v>46</v>
      </c>
      <c r="E373" s="8">
        <v>7.83</v>
      </c>
      <c r="F373" s="8">
        <v>72</v>
      </c>
      <c r="G373" s="8">
        <v>82.9</v>
      </c>
      <c r="H373" s="8">
        <v>0</v>
      </c>
      <c r="I373" s="8" t="s">
        <v>119</v>
      </c>
      <c r="J373" s="8">
        <v>2026</v>
      </c>
      <c r="K373" s="8" t="s">
        <v>34</v>
      </c>
      <c r="L373" s="8" t="s">
        <v>79</v>
      </c>
      <c r="M373" s="9"/>
      <c r="N373">
        <f t="shared" si="10"/>
        <v>224</v>
      </c>
      <c r="O373" t="str">
        <f t="shared" si="11"/>
        <v>Medium</v>
      </c>
    </row>
    <row r="374" spans="1:15" x14ac:dyDescent="0.25">
      <c r="A374" s="5" t="s">
        <v>1029</v>
      </c>
      <c r="B374" s="5" t="s">
        <v>1030</v>
      </c>
      <c r="C374" s="5" t="s">
        <v>22</v>
      </c>
      <c r="D374" s="5" t="s">
        <v>118</v>
      </c>
      <c r="E374" s="5">
        <v>7.34</v>
      </c>
      <c r="F374" s="5">
        <v>69.3</v>
      </c>
      <c r="G374" s="5">
        <v>87.4</v>
      </c>
      <c r="H374" s="5">
        <v>0</v>
      </c>
      <c r="I374" s="5" t="s">
        <v>1031</v>
      </c>
      <c r="J374" s="5">
        <v>2026</v>
      </c>
      <c r="K374" s="5" t="s">
        <v>30</v>
      </c>
      <c r="L374" s="5" t="s">
        <v>79</v>
      </c>
      <c r="M374" s="6"/>
      <c r="N374">
        <f t="shared" si="10"/>
        <v>296</v>
      </c>
      <c r="O374" t="str">
        <f t="shared" si="11"/>
        <v>Medium</v>
      </c>
    </row>
    <row r="375" spans="1:15" x14ac:dyDescent="0.25">
      <c r="A375" s="5" t="s">
        <v>1032</v>
      </c>
      <c r="B375" s="8" t="s">
        <v>306</v>
      </c>
      <c r="C375" s="8" t="s">
        <v>15</v>
      </c>
      <c r="D375" s="8" t="s">
        <v>62</v>
      </c>
      <c r="E375" s="8">
        <v>8.18</v>
      </c>
      <c r="F375" s="8">
        <v>68.7</v>
      </c>
      <c r="G375" s="8">
        <v>54.5</v>
      </c>
      <c r="H375" s="8">
        <v>0</v>
      </c>
      <c r="I375" s="8" t="s">
        <v>1033</v>
      </c>
      <c r="J375" s="8">
        <v>2026</v>
      </c>
      <c r="K375" s="8" t="s">
        <v>34</v>
      </c>
      <c r="L375" s="8" t="s">
        <v>79</v>
      </c>
      <c r="M375" s="9"/>
      <c r="N375">
        <f t="shared" si="10"/>
        <v>184</v>
      </c>
      <c r="O375" t="str">
        <f t="shared" si="11"/>
        <v>High</v>
      </c>
    </row>
    <row r="376" spans="1:15" x14ac:dyDescent="0.25">
      <c r="A376" s="5" t="s">
        <v>1034</v>
      </c>
      <c r="B376" s="5" t="s">
        <v>952</v>
      </c>
      <c r="C376" s="5" t="s">
        <v>15</v>
      </c>
      <c r="D376" s="5" t="s">
        <v>16</v>
      </c>
      <c r="E376" s="5">
        <v>6.67</v>
      </c>
      <c r="F376" s="5">
        <v>60.8</v>
      </c>
      <c r="G376" s="5">
        <v>76.7</v>
      </c>
      <c r="H376" s="5">
        <v>0</v>
      </c>
      <c r="I376" s="5" t="s">
        <v>898</v>
      </c>
      <c r="J376" s="5">
        <v>2026</v>
      </c>
      <c r="K376" s="5" t="s">
        <v>18</v>
      </c>
      <c r="L376" s="5" t="s">
        <v>59</v>
      </c>
      <c r="M376" s="6">
        <v>9.4</v>
      </c>
      <c r="N376">
        <f t="shared" si="10"/>
        <v>378</v>
      </c>
      <c r="O376" t="str">
        <f t="shared" si="11"/>
        <v>Low</v>
      </c>
    </row>
    <row r="377" spans="1:15" x14ac:dyDescent="0.25">
      <c r="A377" s="5" t="s">
        <v>1035</v>
      </c>
      <c r="B377" s="8" t="s">
        <v>1036</v>
      </c>
      <c r="C377" s="8" t="s">
        <v>41</v>
      </c>
      <c r="D377" s="8" t="s">
        <v>209</v>
      </c>
      <c r="E377" s="8">
        <v>8.08</v>
      </c>
      <c r="F377" s="8">
        <v>93.4</v>
      </c>
      <c r="G377" s="8">
        <v>64</v>
      </c>
      <c r="H377" s="8">
        <v>2</v>
      </c>
      <c r="I377" s="8" t="s">
        <v>1037</v>
      </c>
      <c r="J377" s="8">
        <v>2026</v>
      </c>
      <c r="K377" s="8" t="s">
        <v>18</v>
      </c>
      <c r="L377" s="8" t="s">
        <v>188</v>
      </c>
      <c r="M377" s="9">
        <v>3.9</v>
      </c>
      <c r="N377">
        <f t="shared" si="10"/>
        <v>195</v>
      </c>
      <c r="O377" t="str">
        <f t="shared" si="11"/>
        <v>High</v>
      </c>
    </row>
    <row r="378" spans="1:15" x14ac:dyDescent="0.25">
      <c r="A378" s="5" t="s">
        <v>1038</v>
      </c>
      <c r="B378" s="5" t="s">
        <v>127</v>
      </c>
      <c r="C378" s="5" t="s">
        <v>15</v>
      </c>
      <c r="D378" s="5" t="s">
        <v>16</v>
      </c>
      <c r="E378" s="5">
        <v>8.61</v>
      </c>
      <c r="F378" s="5">
        <v>89.5</v>
      </c>
      <c r="G378" s="5">
        <v>66.5</v>
      </c>
      <c r="H378" s="5">
        <v>1</v>
      </c>
      <c r="I378" s="5" t="s">
        <v>866</v>
      </c>
      <c r="J378" s="5">
        <v>2026</v>
      </c>
      <c r="K378" s="5" t="s">
        <v>34</v>
      </c>
      <c r="L378" s="5" t="s">
        <v>79</v>
      </c>
      <c r="M378" s="6"/>
      <c r="N378">
        <f t="shared" si="10"/>
        <v>134</v>
      </c>
      <c r="O378" t="str">
        <f t="shared" si="11"/>
        <v>High</v>
      </c>
    </row>
    <row r="379" spans="1:15" x14ac:dyDescent="0.25">
      <c r="A379" s="5" t="s">
        <v>1039</v>
      </c>
      <c r="B379" s="8" t="s">
        <v>133</v>
      </c>
      <c r="C379" s="8" t="s">
        <v>54</v>
      </c>
      <c r="D379" s="8" t="s">
        <v>46</v>
      </c>
      <c r="E379" s="8">
        <v>7.54</v>
      </c>
      <c r="F379" s="8">
        <v>63.9</v>
      </c>
      <c r="G379" s="8">
        <v>58</v>
      </c>
      <c r="H379" s="8">
        <v>0</v>
      </c>
      <c r="I379" s="8" t="s">
        <v>1040</v>
      </c>
      <c r="J379" s="8">
        <v>2025</v>
      </c>
      <c r="K379" s="8" t="s">
        <v>18</v>
      </c>
      <c r="L379" s="8" t="s">
        <v>95</v>
      </c>
      <c r="M379" s="9">
        <v>3.4</v>
      </c>
      <c r="N379">
        <f t="shared" si="10"/>
        <v>270</v>
      </c>
      <c r="O379" t="str">
        <f t="shared" si="11"/>
        <v>Medium</v>
      </c>
    </row>
    <row r="380" spans="1:15" x14ac:dyDescent="0.25">
      <c r="A380" s="5" t="s">
        <v>1041</v>
      </c>
      <c r="B380" s="5" t="s">
        <v>376</v>
      </c>
      <c r="C380" s="5" t="s">
        <v>54</v>
      </c>
      <c r="D380" s="5" t="s">
        <v>42</v>
      </c>
      <c r="E380" s="5">
        <v>6.14</v>
      </c>
      <c r="F380" s="5">
        <v>82</v>
      </c>
      <c r="G380" s="5">
        <v>69.099999999999994</v>
      </c>
      <c r="H380" s="5">
        <v>0</v>
      </c>
      <c r="I380" s="5" t="s">
        <v>1042</v>
      </c>
      <c r="J380" s="5">
        <v>2026</v>
      </c>
      <c r="K380" s="5" t="s">
        <v>34</v>
      </c>
      <c r="L380" s="5" t="s">
        <v>79</v>
      </c>
      <c r="M380" s="6"/>
      <c r="N380">
        <f t="shared" si="10"/>
        <v>437</v>
      </c>
      <c r="O380" t="str">
        <f t="shared" si="11"/>
        <v>Low</v>
      </c>
    </row>
    <row r="381" spans="1:15" x14ac:dyDescent="0.25">
      <c r="A381" s="5" t="s">
        <v>1043</v>
      </c>
      <c r="B381" s="8" t="s">
        <v>832</v>
      </c>
      <c r="C381" s="8" t="s">
        <v>54</v>
      </c>
      <c r="D381" s="8" t="s">
        <v>169</v>
      </c>
      <c r="E381" s="8">
        <v>5.83</v>
      </c>
      <c r="F381" s="8">
        <v>75.900000000000006</v>
      </c>
      <c r="G381" s="8">
        <v>83.6</v>
      </c>
      <c r="H381" s="8">
        <v>0</v>
      </c>
      <c r="I381" s="8" t="s">
        <v>1044</v>
      </c>
      <c r="J381" s="8">
        <v>2027</v>
      </c>
      <c r="K381" s="8" t="s">
        <v>30</v>
      </c>
      <c r="L381" s="8" t="s">
        <v>79</v>
      </c>
      <c r="M381" s="9"/>
      <c r="N381">
        <f t="shared" si="10"/>
        <v>473</v>
      </c>
      <c r="O381" t="str">
        <f t="shared" si="11"/>
        <v>Low</v>
      </c>
    </row>
    <row r="382" spans="1:15" x14ac:dyDescent="0.25">
      <c r="A382" s="5" t="s">
        <v>1045</v>
      </c>
      <c r="B382" s="5" t="s">
        <v>327</v>
      </c>
      <c r="C382" s="5" t="s">
        <v>54</v>
      </c>
      <c r="D382" s="5" t="s">
        <v>169</v>
      </c>
      <c r="E382" s="5">
        <v>6.12</v>
      </c>
      <c r="F382" s="5">
        <v>85.7</v>
      </c>
      <c r="G382" s="5">
        <v>74.2</v>
      </c>
      <c r="H382" s="5">
        <v>1</v>
      </c>
      <c r="I382" s="5" t="s">
        <v>1046</v>
      </c>
      <c r="J382" s="5">
        <v>2027</v>
      </c>
      <c r="K382" s="5" t="s">
        <v>18</v>
      </c>
      <c r="L382" s="5" t="s">
        <v>259</v>
      </c>
      <c r="M382" s="6">
        <v>10</v>
      </c>
      <c r="N382">
        <f t="shared" si="10"/>
        <v>439</v>
      </c>
      <c r="O382" t="str">
        <f t="shared" si="11"/>
        <v>Low</v>
      </c>
    </row>
    <row r="383" spans="1:15" x14ac:dyDescent="0.25">
      <c r="A383" s="5" t="s">
        <v>1047</v>
      </c>
      <c r="B383" s="8" t="s">
        <v>1048</v>
      </c>
      <c r="C383" s="8" t="s">
        <v>41</v>
      </c>
      <c r="D383" s="8" t="s">
        <v>42</v>
      </c>
      <c r="E383" s="8">
        <v>9.41</v>
      </c>
      <c r="F383" s="8">
        <v>77.5</v>
      </c>
      <c r="G383" s="8">
        <v>50.5</v>
      </c>
      <c r="H383" s="8">
        <v>0</v>
      </c>
      <c r="I383" s="8" t="s">
        <v>1049</v>
      </c>
      <c r="J383" s="8">
        <v>2026</v>
      </c>
      <c r="K383" s="8" t="s">
        <v>18</v>
      </c>
      <c r="L383" s="8" t="s">
        <v>38</v>
      </c>
      <c r="M383" s="9">
        <v>9.6999999999999993</v>
      </c>
      <c r="N383">
        <f t="shared" si="10"/>
        <v>38</v>
      </c>
      <c r="O383" t="str">
        <f t="shared" si="11"/>
        <v>Very High</v>
      </c>
    </row>
    <row r="384" spans="1:15" x14ac:dyDescent="0.25">
      <c r="A384" s="5" t="s">
        <v>1050</v>
      </c>
      <c r="B384" s="5" t="s">
        <v>1051</v>
      </c>
      <c r="C384" s="5" t="s">
        <v>41</v>
      </c>
      <c r="D384" s="5" t="s">
        <v>42</v>
      </c>
      <c r="E384" s="5">
        <v>8.32</v>
      </c>
      <c r="F384" s="5">
        <v>79.3</v>
      </c>
      <c r="G384" s="5">
        <v>76.400000000000006</v>
      </c>
      <c r="H384" s="5">
        <v>0</v>
      </c>
      <c r="I384" s="5" t="s">
        <v>1052</v>
      </c>
      <c r="J384" s="5">
        <v>2025</v>
      </c>
      <c r="K384" s="5" t="s">
        <v>18</v>
      </c>
      <c r="L384" s="5" t="s">
        <v>108</v>
      </c>
      <c r="M384" s="6">
        <v>11.7</v>
      </c>
      <c r="N384">
        <f t="shared" si="10"/>
        <v>167</v>
      </c>
      <c r="O384" t="str">
        <f t="shared" si="11"/>
        <v>High</v>
      </c>
    </row>
    <row r="385" spans="1:15" x14ac:dyDescent="0.25">
      <c r="A385" s="5" t="s">
        <v>1053</v>
      </c>
      <c r="B385" s="8" t="s">
        <v>1054</v>
      </c>
      <c r="C385" s="8" t="s">
        <v>41</v>
      </c>
      <c r="D385" s="8" t="s">
        <v>209</v>
      </c>
      <c r="E385" s="8">
        <v>9.23</v>
      </c>
      <c r="F385" s="8">
        <v>55.6</v>
      </c>
      <c r="G385" s="8">
        <v>55.1</v>
      </c>
      <c r="H385" s="8">
        <v>0</v>
      </c>
      <c r="I385" s="8" t="s">
        <v>1055</v>
      </c>
      <c r="J385" s="8">
        <v>2026</v>
      </c>
      <c r="K385" s="8" t="s">
        <v>34</v>
      </c>
      <c r="L385" s="8" t="s">
        <v>79</v>
      </c>
      <c r="M385" s="9"/>
      <c r="N385">
        <f t="shared" si="10"/>
        <v>58</v>
      </c>
      <c r="O385" t="str">
        <f t="shared" si="11"/>
        <v>Very High</v>
      </c>
    </row>
    <row r="386" spans="1:15" x14ac:dyDescent="0.25">
      <c r="A386" s="5" t="s">
        <v>1056</v>
      </c>
      <c r="B386" s="5" t="s">
        <v>382</v>
      </c>
      <c r="C386" s="5" t="s">
        <v>15</v>
      </c>
      <c r="D386" s="5" t="s">
        <v>28</v>
      </c>
      <c r="E386" s="5">
        <v>9.74</v>
      </c>
      <c r="F386" s="5">
        <v>95.6</v>
      </c>
      <c r="G386" s="5">
        <v>77.400000000000006</v>
      </c>
      <c r="H386" s="5">
        <v>1</v>
      </c>
      <c r="I386" s="5" t="s">
        <v>1057</v>
      </c>
      <c r="J386" s="5">
        <v>2026</v>
      </c>
      <c r="K386" s="5" t="s">
        <v>18</v>
      </c>
      <c r="L386" s="5" t="s">
        <v>59</v>
      </c>
      <c r="M386" s="6">
        <v>11.1</v>
      </c>
      <c r="N386">
        <f t="shared" si="10"/>
        <v>4</v>
      </c>
      <c r="O386" t="str">
        <f t="shared" si="11"/>
        <v>Very High</v>
      </c>
    </row>
    <row r="387" spans="1:15" x14ac:dyDescent="0.25">
      <c r="A387" s="5" t="s">
        <v>1058</v>
      </c>
      <c r="B387" s="8" t="s">
        <v>1059</v>
      </c>
      <c r="C387" s="8" t="s">
        <v>41</v>
      </c>
      <c r="D387" s="8" t="s">
        <v>42</v>
      </c>
      <c r="E387" s="8">
        <v>6.01</v>
      </c>
      <c r="F387" s="8">
        <v>74.5</v>
      </c>
      <c r="G387" s="8">
        <v>71.900000000000006</v>
      </c>
      <c r="H387" s="8">
        <v>0</v>
      </c>
      <c r="I387" s="8" t="s">
        <v>1060</v>
      </c>
      <c r="J387" s="8">
        <v>2026</v>
      </c>
      <c r="K387" s="8" t="s">
        <v>34</v>
      </c>
      <c r="L387" s="8" t="s">
        <v>79</v>
      </c>
      <c r="M387" s="9"/>
      <c r="N387">
        <f t="shared" ref="N387:N450" si="12">RANK(E387,$E$2:$E$481,0)</f>
        <v>455</v>
      </c>
      <c r="O387" t="str">
        <f t="shared" ref="O387:O450" si="13">IF(E387&gt;=9,"Very High",IF(E387&gt;=8,"High",IF(E387&gt;=7,"Medium","Low")))</f>
        <v>Low</v>
      </c>
    </row>
    <row r="388" spans="1:15" x14ac:dyDescent="0.25">
      <c r="A388" s="5" t="s">
        <v>1061</v>
      </c>
      <c r="B388" s="5" t="s">
        <v>516</v>
      </c>
      <c r="C388" s="5" t="s">
        <v>54</v>
      </c>
      <c r="D388" s="5" t="s">
        <v>46</v>
      </c>
      <c r="E388" s="5">
        <v>8.51</v>
      </c>
      <c r="F388" s="5">
        <v>95.4</v>
      </c>
      <c r="G388" s="5">
        <v>81.400000000000006</v>
      </c>
      <c r="H388" s="5">
        <v>0</v>
      </c>
      <c r="I388" s="5" t="s">
        <v>1062</v>
      </c>
      <c r="J388" s="5">
        <v>2026</v>
      </c>
      <c r="K388" s="5" t="s">
        <v>18</v>
      </c>
      <c r="L388" s="5" t="s">
        <v>95</v>
      </c>
      <c r="M388" s="6">
        <v>9.5</v>
      </c>
      <c r="N388">
        <f t="shared" si="12"/>
        <v>144</v>
      </c>
      <c r="O388" t="str">
        <f t="shared" si="13"/>
        <v>High</v>
      </c>
    </row>
    <row r="389" spans="1:15" x14ac:dyDescent="0.25">
      <c r="A389" s="5" t="s">
        <v>1063</v>
      </c>
      <c r="B389" s="8" t="s">
        <v>1064</v>
      </c>
      <c r="C389" s="8" t="s">
        <v>22</v>
      </c>
      <c r="D389" s="8" t="s">
        <v>23</v>
      </c>
      <c r="E389" s="8">
        <v>7.15</v>
      </c>
      <c r="F389" s="8">
        <v>84</v>
      </c>
      <c r="G389" s="8">
        <v>58.3</v>
      </c>
      <c r="H389" s="8">
        <v>0</v>
      </c>
      <c r="I389" s="8" t="s">
        <v>555</v>
      </c>
      <c r="J389" s="8">
        <v>2026</v>
      </c>
      <c r="K389" s="8" t="s">
        <v>30</v>
      </c>
      <c r="L389" s="8" t="s">
        <v>79</v>
      </c>
      <c r="M389" s="9"/>
      <c r="N389">
        <f t="shared" si="12"/>
        <v>316</v>
      </c>
      <c r="O389" t="str">
        <f t="shared" si="13"/>
        <v>Medium</v>
      </c>
    </row>
    <row r="390" spans="1:15" x14ac:dyDescent="0.25">
      <c r="A390" s="5" t="s">
        <v>1065</v>
      </c>
      <c r="B390" s="5" t="s">
        <v>168</v>
      </c>
      <c r="C390" s="5" t="s">
        <v>22</v>
      </c>
      <c r="D390" s="5" t="s">
        <v>23</v>
      </c>
      <c r="E390" s="5">
        <v>6.93</v>
      </c>
      <c r="F390" s="5">
        <v>63.1</v>
      </c>
      <c r="G390" s="5">
        <v>51.1</v>
      </c>
      <c r="H390" s="5">
        <v>0</v>
      </c>
      <c r="I390" s="5" t="s">
        <v>1066</v>
      </c>
      <c r="J390" s="5">
        <v>2025</v>
      </c>
      <c r="K390" s="5" t="s">
        <v>34</v>
      </c>
      <c r="L390" s="5" t="s">
        <v>79</v>
      </c>
      <c r="M390" s="6"/>
      <c r="N390">
        <f t="shared" si="12"/>
        <v>344</v>
      </c>
      <c r="O390" t="str">
        <f t="shared" si="13"/>
        <v>Low</v>
      </c>
    </row>
    <row r="391" spans="1:15" x14ac:dyDescent="0.25">
      <c r="A391" s="5" t="s">
        <v>1067</v>
      </c>
      <c r="B391" s="8" t="s">
        <v>628</v>
      </c>
      <c r="C391" s="8" t="s">
        <v>22</v>
      </c>
      <c r="D391" s="8" t="s">
        <v>16</v>
      </c>
      <c r="E391" s="8">
        <v>8.58</v>
      </c>
      <c r="F391" s="8">
        <v>65.599999999999994</v>
      </c>
      <c r="G391" s="8">
        <v>71.5</v>
      </c>
      <c r="H391" s="8">
        <v>2</v>
      </c>
      <c r="I391" s="8" t="s">
        <v>1068</v>
      </c>
      <c r="J391" s="8">
        <v>2026</v>
      </c>
      <c r="K391" s="8" t="s">
        <v>18</v>
      </c>
      <c r="L391" s="8" t="s">
        <v>115</v>
      </c>
      <c r="M391" s="9">
        <v>7.3</v>
      </c>
      <c r="N391">
        <f t="shared" si="12"/>
        <v>138</v>
      </c>
      <c r="O391" t="str">
        <f t="shared" si="13"/>
        <v>High</v>
      </c>
    </row>
    <row r="392" spans="1:15" x14ac:dyDescent="0.25">
      <c r="A392" s="5" t="s">
        <v>1069</v>
      </c>
      <c r="B392" s="5" t="s">
        <v>897</v>
      </c>
      <c r="C392" s="5" t="s">
        <v>41</v>
      </c>
      <c r="D392" s="5" t="s">
        <v>209</v>
      </c>
      <c r="E392" s="5">
        <v>6.51</v>
      </c>
      <c r="F392" s="5">
        <v>57.9</v>
      </c>
      <c r="G392" s="5">
        <v>95.1</v>
      </c>
      <c r="H392" s="5">
        <v>0</v>
      </c>
      <c r="I392" s="5" t="s">
        <v>1070</v>
      </c>
      <c r="J392" s="5">
        <v>2026</v>
      </c>
      <c r="K392" s="5" t="s">
        <v>18</v>
      </c>
      <c r="L392" s="5" t="s">
        <v>95</v>
      </c>
      <c r="M392" s="6">
        <v>4.3</v>
      </c>
      <c r="N392">
        <f t="shared" si="12"/>
        <v>402</v>
      </c>
      <c r="O392" t="str">
        <f t="shared" si="13"/>
        <v>Low</v>
      </c>
    </row>
    <row r="393" spans="1:15" x14ac:dyDescent="0.25">
      <c r="A393" s="5" t="s">
        <v>1071</v>
      </c>
      <c r="B393" s="8" t="s">
        <v>1072</v>
      </c>
      <c r="C393" s="8" t="s">
        <v>15</v>
      </c>
      <c r="D393" s="8" t="s">
        <v>16</v>
      </c>
      <c r="E393" s="8">
        <v>6.09</v>
      </c>
      <c r="F393" s="8">
        <v>79</v>
      </c>
      <c r="G393" s="8">
        <v>61.5</v>
      </c>
      <c r="H393" s="8">
        <v>0</v>
      </c>
      <c r="I393" s="8" t="s">
        <v>1073</v>
      </c>
      <c r="J393" s="8">
        <v>2026</v>
      </c>
      <c r="K393" s="8" t="s">
        <v>34</v>
      </c>
      <c r="L393" s="8" t="s">
        <v>79</v>
      </c>
      <c r="M393" s="9"/>
      <c r="N393">
        <f t="shared" si="12"/>
        <v>443</v>
      </c>
      <c r="O393" t="str">
        <f t="shared" si="13"/>
        <v>Low</v>
      </c>
    </row>
    <row r="394" spans="1:15" x14ac:dyDescent="0.25">
      <c r="A394" s="5" t="s">
        <v>1074</v>
      </c>
      <c r="B394" s="5" t="s">
        <v>1075</v>
      </c>
      <c r="C394" s="5" t="s">
        <v>54</v>
      </c>
      <c r="D394" s="5" t="s">
        <v>46</v>
      </c>
      <c r="E394" s="5">
        <v>7.54</v>
      </c>
      <c r="F394" s="5">
        <v>90.5</v>
      </c>
      <c r="G394" s="5">
        <v>85.9</v>
      </c>
      <c r="H394" s="5">
        <v>1</v>
      </c>
      <c r="I394" s="5" t="s">
        <v>445</v>
      </c>
      <c r="J394" s="5">
        <v>2025</v>
      </c>
      <c r="K394" s="5" t="s">
        <v>34</v>
      </c>
      <c r="L394" s="5" t="s">
        <v>79</v>
      </c>
      <c r="M394" s="6"/>
      <c r="N394">
        <f t="shared" si="12"/>
        <v>270</v>
      </c>
      <c r="O394" t="str">
        <f t="shared" si="13"/>
        <v>Medium</v>
      </c>
    </row>
    <row r="395" spans="1:15" x14ac:dyDescent="0.25">
      <c r="A395" s="5" t="s">
        <v>1076</v>
      </c>
      <c r="B395" s="8" t="s">
        <v>778</v>
      </c>
      <c r="C395" s="8" t="s">
        <v>54</v>
      </c>
      <c r="D395" s="8" t="s">
        <v>42</v>
      </c>
      <c r="E395" s="8">
        <v>8.33</v>
      </c>
      <c r="F395" s="8">
        <v>95.3</v>
      </c>
      <c r="G395" s="8">
        <v>54.2</v>
      </c>
      <c r="H395" s="8">
        <v>0</v>
      </c>
      <c r="I395" s="8" t="s">
        <v>1077</v>
      </c>
      <c r="J395" s="8">
        <v>2026</v>
      </c>
      <c r="K395" s="8" t="s">
        <v>34</v>
      </c>
      <c r="L395" s="8" t="s">
        <v>79</v>
      </c>
      <c r="M395" s="9"/>
      <c r="N395">
        <f t="shared" si="12"/>
        <v>166</v>
      </c>
      <c r="O395" t="str">
        <f t="shared" si="13"/>
        <v>High</v>
      </c>
    </row>
    <row r="396" spans="1:15" x14ac:dyDescent="0.25">
      <c r="A396" s="5" t="s">
        <v>1078</v>
      </c>
      <c r="B396" s="5" t="s">
        <v>1079</v>
      </c>
      <c r="C396" s="5" t="s">
        <v>41</v>
      </c>
      <c r="D396" s="5" t="s">
        <v>28</v>
      </c>
      <c r="E396" s="5">
        <v>9.39</v>
      </c>
      <c r="F396" s="5">
        <v>81.5</v>
      </c>
      <c r="G396" s="5">
        <v>66.5</v>
      </c>
      <c r="H396" s="5">
        <v>0</v>
      </c>
      <c r="I396" s="5" t="s">
        <v>1080</v>
      </c>
      <c r="J396" s="5">
        <v>2026</v>
      </c>
      <c r="K396" s="5" t="s">
        <v>18</v>
      </c>
      <c r="L396" s="5" t="s">
        <v>259</v>
      </c>
      <c r="M396" s="6">
        <v>7.4</v>
      </c>
      <c r="N396">
        <f t="shared" si="12"/>
        <v>40</v>
      </c>
      <c r="O396" t="str">
        <f t="shared" si="13"/>
        <v>Very High</v>
      </c>
    </row>
    <row r="397" spans="1:15" x14ac:dyDescent="0.25">
      <c r="A397" s="5" t="s">
        <v>1081</v>
      </c>
      <c r="B397" s="8" t="s">
        <v>1082</v>
      </c>
      <c r="C397" s="8" t="s">
        <v>41</v>
      </c>
      <c r="D397" s="8" t="s">
        <v>28</v>
      </c>
      <c r="E397" s="8">
        <v>7.94</v>
      </c>
      <c r="F397" s="8">
        <v>90</v>
      </c>
      <c r="G397" s="8">
        <v>70.7</v>
      </c>
      <c r="H397" s="8">
        <v>3</v>
      </c>
      <c r="I397" s="8" t="s">
        <v>82</v>
      </c>
      <c r="J397" s="8">
        <v>2026</v>
      </c>
      <c r="K397" s="8" t="s">
        <v>34</v>
      </c>
      <c r="L397" s="8" t="s">
        <v>79</v>
      </c>
      <c r="M397" s="9"/>
      <c r="N397">
        <f t="shared" si="12"/>
        <v>210</v>
      </c>
      <c r="O397" t="str">
        <f t="shared" si="13"/>
        <v>Medium</v>
      </c>
    </row>
    <row r="398" spans="1:15" x14ac:dyDescent="0.25">
      <c r="A398" s="5" t="s">
        <v>1083</v>
      </c>
      <c r="B398" s="5" t="s">
        <v>65</v>
      </c>
      <c r="C398" s="5" t="s">
        <v>54</v>
      </c>
      <c r="D398" s="5" t="s">
        <v>169</v>
      </c>
      <c r="E398" s="5">
        <v>9.2799999999999994</v>
      </c>
      <c r="F398" s="5">
        <v>77.5</v>
      </c>
      <c r="G398" s="5">
        <v>84.1</v>
      </c>
      <c r="H398" s="5">
        <v>0</v>
      </c>
      <c r="I398" s="5" t="s">
        <v>1084</v>
      </c>
      <c r="J398" s="5">
        <v>2026</v>
      </c>
      <c r="K398" s="5" t="s">
        <v>18</v>
      </c>
      <c r="L398" s="5" t="s">
        <v>38</v>
      </c>
      <c r="M398" s="6">
        <v>13.1</v>
      </c>
      <c r="N398">
        <f t="shared" si="12"/>
        <v>48</v>
      </c>
      <c r="O398" t="str">
        <f t="shared" si="13"/>
        <v>Very High</v>
      </c>
    </row>
    <row r="399" spans="1:15" x14ac:dyDescent="0.25">
      <c r="A399" s="5" t="s">
        <v>1085</v>
      </c>
      <c r="B399" s="8" t="s">
        <v>149</v>
      </c>
      <c r="C399" s="8" t="s">
        <v>22</v>
      </c>
      <c r="D399" s="8" t="s">
        <v>16</v>
      </c>
      <c r="E399" s="8">
        <v>6.49</v>
      </c>
      <c r="F399" s="8">
        <v>57.1</v>
      </c>
      <c r="G399" s="8">
        <v>64.099999999999994</v>
      </c>
      <c r="H399" s="8">
        <v>1</v>
      </c>
      <c r="I399" s="8" t="s">
        <v>1086</v>
      </c>
      <c r="J399" s="8">
        <v>2025</v>
      </c>
      <c r="K399" s="8" t="s">
        <v>30</v>
      </c>
      <c r="L399" s="8" t="s">
        <v>79</v>
      </c>
      <c r="M399" s="9"/>
      <c r="N399">
        <f t="shared" si="12"/>
        <v>406</v>
      </c>
      <c r="O399" t="str">
        <f t="shared" si="13"/>
        <v>Low</v>
      </c>
    </row>
    <row r="400" spans="1:15" x14ac:dyDescent="0.25">
      <c r="A400" s="5" t="s">
        <v>1087</v>
      </c>
      <c r="B400" s="5" t="s">
        <v>1088</v>
      </c>
      <c r="C400" s="5" t="s">
        <v>22</v>
      </c>
      <c r="D400" s="5" t="s">
        <v>118</v>
      </c>
      <c r="E400" s="5">
        <v>7.15</v>
      </c>
      <c r="F400" s="5">
        <v>90.1</v>
      </c>
      <c r="G400" s="5">
        <v>83.9</v>
      </c>
      <c r="H400" s="5">
        <v>0</v>
      </c>
      <c r="I400" s="5" t="s">
        <v>66</v>
      </c>
      <c r="J400" s="5">
        <v>2025</v>
      </c>
      <c r="K400" s="5" t="s">
        <v>34</v>
      </c>
      <c r="L400" s="5" t="s">
        <v>79</v>
      </c>
      <c r="M400" s="6"/>
      <c r="N400">
        <f t="shared" si="12"/>
        <v>316</v>
      </c>
      <c r="O400" t="str">
        <f t="shared" si="13"/>
        <v>Medium</v>
      </c>
    </row>
    <row r="401" spans="1:15" x14ac:dyDescent="0.25">
      <c r="A401" s="5" t="s">
        <v>1089</v>
      </c>
      <c r="B401" s="8" t="s">
        <v>1090</v>
      </c>
      <c r="C401" s="8" t="s">
        <v>22</v>
      </c>
      <c r="D401" s="8" t="s">
        <v>118</v>
      </c>
      <c r="E401" s="8">
        <v>6.05</v>
      </c>
      <c r="F401" s="8">
        <v>66.5</v>
      </c>
      <c r="G401" s="8">
        <v>84.8</v>
      </c>
      <c r="H401" s="8">
        <v>0</v>
      </c>
      <c r="I401" s="8" t="s">
        <v>1091</v>
      </c>
      <c r="J401" s="8">
        <v>2027</v>
      </c>
      <c r="K401" s="8" t="s">
        <v>18</v>
      </c>
      <c r="L401" s="8" t="s">
        <v>48</v>
      </c>
      <c r="M401" s="9">
        <v>11.7</v>
      </c>
      <c r="N401">
        <f t="shared" si="12"/>
        <v>450</v>
      </c>
      <c r="O401" t="str">
        <f t="shared" si="13"/>
        <v>Low</v>
      </c>
    </row>
    <row r="402" spans="1:15" x14ac:dyDescent="0.25">
      <c r="A402" s="5" t="s">
        <v>1092</v>
      </c>
      <c r="B402" s="5" t="s">
        <v>159</v>
      </c>
      <c r="C402" s="5" t="s">
        <v>54</v>
      </c>
      <c r="D402" s="5" t="s">
        <v>42</v>
      </c>
      <c r="E402" s="5">
        <v>5.86</v>
      </c>
      <c r="F402" s="5">
        <v>75.5</v>
      </c>
      <c r="G402" s="5">
        <v>50.3</v>
      </c>
      <c r="H402" s="5">
        <v>0</v>
      </c>
      <c r="I402" s="5" t="s">
        <v>937</v>
      </c>
      <c r="J402" s="5">
        <v>2026</v>
      </c>
      <c r="K402" s="5" t="s">
        <v>34</v>
      </c>
      <c r="L402" s="5" t="s">
        <v>79</v>
      </c>
      <c r="M402" s="6"/>
      <c r="N402">
        <f t="shared" si="12"/>
        <v>472</v>
      </c>
      <c r="O402" t="str">
        <f t="shared" si="13"/>
        <v>Low</v>
      </c>
    </row>
    <row r="403" spans="1:15" x14ac:dyDescent="0.25">
      <c r="A403" s="5" t="s">
        <v>1093</v>
      </c>
      <c r="B403" s="8" t="s">
        <v>1094</v>
      </c>
      <c r="C403" s="8" t="s">
        <v>22</v>
      </c>
      <c r="D403" s="8" t="s">
        <v>16</v>
      </c>
      <c r="E403" s="8">
        <v>8.36</v>
      </c>
      <c r="F403" s="8">
        <v>77</v>
      </c>
      <c r="G403" s="8">
        <v>69</v>
      </c>
      <c r="H403" s="8">
        <v>2</v>
      </c>
      <c r="I403" s="8" t="s">
        <v>351</v>
      </c>
      <c r="J403" s="8">
        <v>2026</v>
      </c>
      <c r="K403" s="8" t="s">
        <v>34</v>
      </c>
      <c r="L403" s="8" t="s">
        <v>79</v>
      </c>
      <c r="M403" s="9"/>
      <c r="N403">
        <f t="shared" si="12"/>
        <v>162</v>
      </c>
      <c r="O403" t="str">
        <f t="shared" si="13"/>
        <v>High</v>
      </c>
    </row>
    <row r="404" spans="1:15" x14ac:dyDescent="0.25">
      <c r="A404" s="5" t="s">
        <v>1095</v>
      </c>
      <c r="B404" s="5" t="s">
        <v>1096</v>
      </c>
      <c r="C404" s="5" t="s">
        <v>41</v>
      </c>
      <c r="D404" s="5" t="s">
        <v>28</v>
      </c>
      <c r="E404" s="5">
        <v>5.82</v>
      </c>
      <c r="F404" s="5">
        <v>64.900000000000006</v>
      </c>
      <c r="G404" s="5">
        <v>55.4</v>
      </c>
      <c r="H404" s="5">
        <v>0</v>
      </c>
      <c r="I404" s="5" t="s">
        <v>587</v>
      </c>
      <c r="J404" s="5">
        <v>2027</v>
      </c>
      <c r="K404" s="5" t="s">
        <v>30</v>
      </c>
      <c r="L404" s="5" t="s">
        <v>79</v>
      </c>
      <c r="M404" s="6"/>
      <c r="N404">
        <f t="shared" si="12"/>
        <v>475</v>
      </c>
      <c r="O404" t="str">
        <f t="shared" si="13"/>
        <v>Low</v>
      </c>
    </row>
    <row r="405" spans="1:15" x14ac:dyDescent="0.25">
      <c r="A405" s="5" t="s">
        <v>1097</v>
      </c>
      <c r="B405" s="8" t="s">
        <v>1098</v>
      </c>
      <c r="C405" s="8" t="s">
        <v>22</v>
      </c>
      <c r="D405" s="8" t="s">
        <v>118</v>
      </c>
      <c r="E405" s="8">
        <v>6.01</v>
      </c>
      <c r="F405" s="8">
        <v>59.7</v>
      </c>
      <c r="G405" s="8">
        <v>56.9</v>
      </c>
      <c r="H405" s="8">
        <v>1</v>
      </c>
      <c r="I405" s="8" t="s">
        <v>1099</v>
      </c>
      <c r="J405" s="8">
        <v>2025</v>
      </c>
      <c r="K405" s="8" t="s">
        <v>34</v>
      </c>
      <c r="L405" s="8" t="s">
        <v>79</v>
      </c>
      <c r="M405" s="9"/>
      <c r="N405">
        <f t="shared" si="12"/>
        <v>455</v>
      </c>
      <c r="O405" t="str">
        <f t="shared" si="13"/>
        <v>Low</v>
      </c>
    </row>
    <row r="406" spans="1:15" x14ac:dyDescent="0.25">
      <c r="A406" s="5" t="s">
        <v>1100</v>
      </c>
      <c r="B406" s="5" t="s">
        <v>1101</v>
      </c>
      <c r="C406" s="5" t="s">
        <v>41</v>
      </c>
      <c r="D406" s="5" t="s">
        <v>28</v>
      </c>
      <c r="E406" s="5">
        <v>5.97</v>
      </c>
      <c r="F406" s="5">
        <v>86.1</v>
      </c>
      <c r="G406" s="5">
        <v>92.5</v>
      </c>
      <c r="H406" s="5">
        <v>0</v>
      </c>
      <c r="I406" s="5" t="s">
        <v>76</v>
      </c>
      <c r="J406" s="5">
        <v>2025</v>
      </c>
      <c r="K406" s="5" t="s">
        <v>30</v>
      </c>
      <c r="L406" s="5" t="s">
        <v>79</v>
      </c>
      <c r="M406" s="6"/>
      <c r="N406">
        <f t="shared" si="12"/>
        <v>464</v>
      </c>
      <c r="O406" t="str">
        <f t="shared" si="13"/>
        <v>Low</v>
      </c>
    </row>
    <row r="407" spans="1:15" x14ac:dyDescent="0.25">
      <c r="A407" s="5" t="s">
        <v>1102</v>
      </c>
      <c r="B407" s="8" t="s">
        <v>754</v>
      </c>
      <c r="C407" s="8" t="s">
        <v>41</v>
      </c>
      <c r="D407" s="8" t="s">
        <v>28</v>
      </c>
      <c r="E407" s="8">
        <v>6.6</v>
      </c>
      <c r="F407" s="8">
        <v>83.4</v>
      </c>
      <c r="G407" s="8">
        <v>65</v>
      </c>
      <c r="H407" s="8">
        <v>0</v>
      </c>
      <c r="I407" s="8" t="s">
        <v>1103</v>
      </c>
      <c r="J407" s="8">
        <v>2026</v>
      </c>
      <c r="K407" s="8" t="s">
        <v>18</v>
      </c>
      <c r="L407" s="8" t="s">
        <v>38</v>
      </c>
      <c r="M407" s="9">
        <v>5.6</v>
      </c>
      <c r="N407">
        <f t="shared" si="12"/>
        <v>387</v>
      </c>
      <c r="O407" t="str">
        <f t="shared" si="13"/>
        <v>Low</v>
      </c>
    </row>
    <row r="408" spans="1:15" x14ac:dyDescent="0.25">
      <c r="A408" s="5" t="s">
        <v>1104</v>
      </c>
      <c r="B408" s="5" t="s">
        <v>1105</v>
      </c>
      <c r="C408" s="5" t="s">
        <v>54</v>
      </c>
      <c r="D408" s="5" t="s">
        <v>42</v>
      </c>
      <c r="E408" s="5">
        <v>9.36</v>
      </c>
      <c r="F408" s="5">
        <v>61.1</v>
      </c>
      <c r="G408" s="5">
        <v>92.7</v>
      </c>
      <c r="H408" s="5">
        <v>0</v>
      </c>
      <c r="I408" s="5" t="s">
        <v>1106</v>
      </c>
      <c r="J408" s="5">
        <v>2026</v>
      </c>
      <c r="K408" s="5" t="s">
        <v>34</v>
      </c>
      <c r="L408" s="5" t="s">
        <v>79</v>
      </c>
      <c r="M408" s="6"/>
      <c r="N408">
        <f t="shared" si="12"/>
        <v>45</v>
      </c>
      <c r="O408" t="str">
        <f t="shared" si="13"/>
        <v>Very High</v>
      </c>
    </row>
    <row r="409" spans="1:15" x14ac:dyDescent="0.25">
      <c r="A409" s="5" t="s">
        <v>1107</v>
      </c>
      <c r="B409" s="8" t="s">
        <v>1108</v>
      </c>
      <c r="C409" s="8" t="s">
        <v>15</v>
      </c>
      <c r="D409" s="8" t="s">
        <v>62</v>
      </c>
      <c r="E409" s="8">
        <v>8.07</v>
      </c>
      <c r="F409" s="8">
        <v>66.8</v>
      </c>
      <c r="G409" s="8">
        <v>55.1</v>
      </c>
      <c r="H409" s="8">
        <v>0</v>
      </c>
      <c r="I409" s="8" t="s">
        <v>1109</v>
      </c>
      <c r="J409" s="8">
        <v>2026</v>
      </c>
      <c r="K409" s="8" t="s">
        <v>30</v>
      </c>
      <c r="L409" s="8" t="s">
        <v>79</v>
      </c>
      <c r="M409" s="9"/>
      <c r="N409">
        <f t="shared" si="12"/>
        <v>198</v>
      </c>
      <c r="O409" t="str">
        <f t="shared" si="13"/>
        <v>High</v>
      </c>
    </row>
    <row r="410" spans="1:15" x14ac:dyDescent="0.25">
      <c r="A410" s="5" t="s">
        <v>1110</v>
      </c>
      <c r="B410" s="5" t="s">
        <v>1111</v>
      </c>
      <c r="C410" s="5" t="s">
        <v>22</v>
      </c>
      <c r="D410" s="5" t="s">
        <v>16</v>
      </c>
      <c r="E410" s="5">
        <v>7.45</v>
      </c>
      <c r="F410" s="5">
        <v>76.900000000000006</v>
      </c>
      <c r="G410" s="5">
        <v>89.7</v>
      </c>
      <c r="H410" s="5">
        <v>0</v>
      </c>
      <c r="I410" s="5" t="s">
        <v>1112</v>
      </c>
      <c r="J410" s="5">
        <v>2026</v>
      </c>
      <c r="K410" s="5" t="s">
        <v>18</v>
      </c>
      <c r="L410" s="5" t="s">
        <v>138</v>
      </c>
      <c r="M410" s="6">
        <v>7.9</v>
      </c>
      <c r="N410">
        <f t="shared" si="12"/>
        <v>280</v>
      </c>
      <c r="O410" t="str">
        <f t="shared" si="13"/>
        <v>Medium</v>
      </c>
    </row>
    <row r="411" spans="1:15" x14ac:dyDescent="0.25">
      <c r="A411" s="5" t="s">
        <v>1113</v>
      </c>
      <c r="B411" s="8" t="s">
        <v>1114</v>
      </c>
      <c r="C411" s="8" t="s">
        <v>22</v>
      </c>
      <c r="D411" s="8" t="s">
        <v>23</v>
      </c>
      <c r="E411" s="8">
        <v>9.39</v>
      </c>
      <c r="F411" s="8">
        <v>72.5</v>
      </c>
      <c r="G411" s="8">
        <v>52</v>
      </c>
      <c r="H411" s="8">
        <v>3</v>
      </c>
      <c r="I411" s="8" t="s">
        <v>307</v>
      </c>
      <c r="J411" s="8">
        <v>2026</v>
      </c>
      <c r="K411" s="8" t="s">
        <v>30</v>
      </c>
      <c r="L411" s="8" t="s">
        <v>79</v>
      </c>
      <c r="M411" s="9"/>
      <c r="N411">
        <f t="shared" si="12"/>
        <v>40</v>
      </c>
      <c r="O411" t="str">
        <f t="shared" si="13"/>
        <v>Very High</v>
      </c>
    </row>
    <row r="412" spans="1:15" x14ac:dyDescent="0.25">
      <c r="A412" s="5" t="s">
        <v>1115</v>
      </c>
      <c r="B412" s="5" t="s">
        <v>1116</v>
      </c>
      <c r="C412" s="5" t="s">
        <v>54</v>
      </c>
      <c r="D412" s="5" t="s">
        <v>46</v>
      </c>
      <c r="E412" s="5">
        <v>6.76</v>
      </c>
      <c r="F412" s="5">
        <v>78.5</v>
      </c>
      <c r="G412" s="5">
        <v>50.6</v>
      </c>
      <c r="H412" s="5">
        <v>0</v>
      </c>
      <c r="I412" s="5" t="s">
        <v>1117</v>
      </c>
      <c r="J412" s="5">
        <v>2026</v>
      </c>
      <c r="K412" s="5" t="s">
        <v>34</v>
      </c>
      <c r="L412" s="5" t="s">
        <v>79</v>
      </c>
      <c r="M412" s="6"/>
      <c r="N412">
        <f t="shared" si="12"/>
        <v>368</v>
      </c>
      <c r="O412" t="str">
        <f t="shared" si="13"/>
        <v>Low</v>
      </c>
    </row>
    <row r="413" spans="1:15" x14ac:dyDescent="0.25">
      <c r="A413" s="5" t="s">
        <v>1118</v>
      </c>
      <c r="B413" s="8" t="s">
        <v>949</v>
      </c>
      <c r="C413" s="8" t="s">
        <v>22</v>
      </c>
      <c r="D413" s="8" t="s">
        <v>23</v>
      </c>
      <c r="E413" s="8">
        <v>7.64</v>
      </c>
      <c r="F413" s="8">
        <v>79</v>
      </c>
      <c r="G413" s="8">
        <v>76.8</v>
      </c>
      <c r="H413" s="8">
        <v>2</v>
      </c>
      <c r="I413" s="8" t="s">
        <v>1119</v>
      </c>
      <c r="J413" s="8">
        <v>2026</v>
      </c>
      <c r="K413" s="8" t="s">
        <v>34</v>
      </c>
      <c r="L413" s="8" t="s">
        <v>79</v>
      </c>
      <c r="M413" s="9"/>
      <c r="N413">
        <f t="shared" si="12"/>
        <v>251</v>
      </c>
      <c r="O413" t="str">
        <f t="shared" si="13"/>
        <v>Medium</v>
      </c>
    </row>
    <row r="414" spans="1:15" x14ac:dyDescent="0.25">
      <c r="A414" s="5" t="s">
        <v>1120</v>
      </c>
      <c r="B414" s="5" t="s">
        <v>296</v>
      </c>
      <c r="C414" s="5" t="s">
        <v>54</v>
      </c>
      <c r="D414" s="5" t="s">
        <v>169</v>
      </c>
      <c r="E414" s="5">
        <v>7.13</v>
      </c>
      <c r="F414" s="5">
        <v>56.4</v>
      </c>
      <c r="G414" s="5">
        <v>69.599999999999994</v>
      </c>
      <c r="H414" s="5">
        <v>0</v>
      </c>
      <c r="I414" s="5" t="s">
        <v>1121</v>
      </c>
      <c r="J414" s="5">
        <v>2026</v>
      </c>
      <c r="K414" s="5" t="s">
        <v>34</v>
      </c>
      <c r="L414" s="5" t="s">
        <v>79</v>
      </c>
      <c r="M414" s="6"/>
      <c r="N414">
        <f t="shared" si="12"/>
        <v>318</v>
      </c>
      <c r="O414" t="str">
        <f t="shared" si="13"/>
        <v>Medium</v>
      </c>
    </row>
    <row r="415" spans="1:15" x14ac:dyDescent="0.25">
      <c r="A415" s="5" t="s">
        <v>1122</v>
      </c>
      <c r="B415" s="8" t="s">
        <v>754</v>
      </c>
      <c r="C415" s="8" t="s">
        <v>15</v>
      </c>
      <c r="D415" s="8" t="s">
        <v>28</v>
      </c>
      <c r="E415" s="8">
        <v>7.26</v>
      </c>
      <c r="F415" s="8">
        <v>81</v>
      </c>
      <c r="G415" s="8">
        <v>66.8</v>
      </c>
      <c r="H415" s="8">
        <v>0</v>
      </c>
      <c r="I415" s="8" t="s">
        <v>574</v>
      </c>
      <c r="J415" s="8">
        <v>2025</v>
      </c>
      <c r="K415" s="8" t="s">
        <v>18</v>
      </c>
      <c r="L415" s="8" t="s">
        <v>518</v>
      </c>
      <c r="M415" s="9">
        <v>4.4000000000000004</v>
      </c>
      <c r="N415">
        <f t="shared" si="12"/>
        <v>307</v>
      </c>
      <c r="O415" t="str">
        <f t="shared" si="13"/>
        <v>Medium</v>
      </c>
    </row>
    <row r="416" spans="1:15" x14ac:dyDescent="0.25">
      <c r="A416" s="5" t="s">
        <v>1123</v>
      </c>
      <c r="B416" s="5" t="s">
        <v>245</v>
      </c>
      <c r="C416" s="5" t="s">
        <v>22</v>
      </c>
      <c r="D416" s="5" t="s">
        <v>23</v>
      </c>
      <c r="E416" s="5">
        <v>8.84</v>
      </c>
      <c r="F416" s="5">
        <v>68.5</v>
      </c>
      <c r="G416" s="5">
        <v>91.3</v>
      </c>
      <c r="H416" s="5">
        <v>0</v>
      </c>
      <c r="I416" s="5" t="s">
        <v>1124</v>
      </c>
      <c r="J416" s="5">
        <v>2026</v>
      </c>
      <c r="K416" s="5" t="s">
        <v>18</v>
      </c>
      <c r="L416" s="5" t="s">
        <v>108</v>
      </c>
      <c r="M416" s="6">
        <v>4.5</v>
      </c>
      <c r="N416">
        <f t="shared" si="12"/>
        <v>96</v>
      </c>
      <c r="O416" t="str">
        <f t="shared" si="13"/>
        <v>High</v>
      </c>
    </row>
    <row r="417" spans="1:15" x14ac:dyDescent="0.25">
      <c r="A417" s="5" t="s">
        <v>1125</v>
      </c>
      <c r="B417" s="8" t="s">
        <v>1126</v>
      </c>
      <c r="C417" s="8" t="s">
        <v>41</v>
      </c>
      <c r="D417" s="8" t="s">
        <v>28</v>
      </c>
      <c r="E417" s="8">
        <v>8.2799999999999994</v>
      </c>
      <c r="F417" s="8">
        <v>88.6</v>
      </c>
      <c r="G417" s="8">
        <v>93.5</v>
      </c>
      <c r="H417" s="8">
        <v>1</v>
      </c>
      <c r="I417" s="8" t="s">
        <v>612</v>
      </c>
      <c r="J417" s="8">
        <v>2025</v>
      </c>
      <c r="K417" s="8" t="s">
        <v>34</v>
      </c>
      <c r="L417" s="8" t="s">
        <v>79</v>
      </c>
      <c r="M417" s="9"/>
      <c r="N417">
        <f t="shared" si="12"/>
        <v>171</v>
      </c>
      <c r="O417" t="str">
        <f t="shared" si="13"/>
        <v>High</v>
      </c>
    </row>
    <row r="418" spans="1:15" x14ac:dyDescent="0.25">
      <c r="A418" s="5" t="s">
        <v>1127</v>
      </c>
      <c r="B418" s="5" t="s">
        <v>971</v>
      </c>
      <c r="C418" s="5" t="s">
        <v>15</v>
      </c>
      <c r="D418" s="5" t="s">
        <v>16</v>
      </c>
      <c r="E418" s="5">
        <v>6.9</v>
      </c>
      <c r="F418" s="5">
        <v>84.3</v>
      </c>
      <c r="G418" s="5">
        <v>72.2</v>
      </c>
      <c r="H418" s="5">
        <v>1</v>
      </c>
      <c r="I418" s="5" t="s">
        <v>652</v>
      </c>
      <c r="J418" s="5">
        <v>2027</v>
      </c>
      <c r="K418" s="5" t="s">
        <v>34</v>
      </c>
      <c r="L418" s="5" t="s">
        <v>79</v>
      </c>
      <c r="M418" s="6"/>
      <c r="N418">
        <f t="shared" si="12"/>
        <v>346</v>
      </c>
      <c r="O418" t="str">
        <f t="shared" si="13"/>
        <v>Low</v>
      </c>
    </row>
    <row r="419" spans="1:15" x14ac:dyDescent="0.25">
      <c r="A419" s="5" t="s">
        <v>1128</v>
      </c>
      <c r="B419" s="8" t="s">
        <v>754</v>
      </c>
      <c r="C419" s="8" t="s">
        <v>54</v>
      </c>
      <c r="D419" s="8" t="s">
        <v>46</v>
      </c>
      <c r="E419" s="8">
        <v>8.75</v>
      </c>
      <c r="F419" s="8">
        <v>55.9</v>
      </c>
      <c r="G419" s="8">
        <v>58.7</v>
      </c>
      <c r="H419" s="8">
        <v>0</v>
      </c>
      <c r="I419" s="8" t="s">
        <v>1129</v>
      </c>
      <c r="J419" s="8">
        <v>2026</v>
      </c>
      <c r="K419" s="8" t="s">
        <v>34</v>
      </c>
      <c r="L419" s="8" t="s">
        <v>79</v>
      </c>
      <c r="M419" s="9"/>
      <c r="N419">
        <f t="shared" si="12"/>
        <v>116</v>
      </c>
      <c r="O419" t="str">
        <f t="shared" si="13"/>
        <v>High</v>
      </c>
    </row>
    <row r="420" spans="1:15" x14ac:dyDescent="0.25">
      <c r="A420" s="5" t="s">
        <v>1130</v>
      </c>
      <c r="B420" s="5" t="s">
        <v>1131</v>
      </c>
      <c r="C420" s="5" t="s">
        <v>54</v>
      </c>
      <c r="D420" s="5" t="s">
        <v>46</v>
      </c>
      <c r="E420" s="5">
        <v>7.02</v>
      </c>
      <c r="F420" s="5">
        <v>60.5</v>
      </c>
      <c r="G420" s="5">
        <v>86.3</v>
      </c>
      <c r="H420" s="5">
        <v>0</v>
      </c>
      <c r="I420" s="5" t="s">
        <v>1132</v>
      </c>
      <c r="J420" s="5">
        <v>2026</v>
      </c>
      <c r="K420" s="5" t="s">
        <v>18</v>
      </c>
      <c r="L420" s="5" t="s">
        <v>138</v>
      </c>
      <c r="M420" s="6">
        <v>6.3</v>
      </c>
      <c r="N420">
        <f t="shared" si="12"/>
        <v>336</v>
      </c>
      <c r="O420" t="str">
        <f t="shared" si="13"/>
        <v>Medium</v>
      </c>
    </row>
    <row r="421" spans="1:15" x14ac:dyDescent="0.25">
      <c r="A421" s="5" t="s">
        <v>1133</v>
      </c>
      <c r="B421" s="8" t="s">
        <v>551</v>
      </c>
      <c r="C421" s="8" t="s">
        <v>22</v>
      </c>
      <c r="D421" s="8" t="s">
        <v>23</v>
      </c>
      <c r="E421" s="8">
        <v>7.94</v>
      </c>
      <c r="F421" s="8">
        <v>62.7</v>
      </c>
      <c r="G421" s="8">
        <v>58.1</v>
      </c>
      <c r="H421" s="8">
        <v>0</v>
      </c>
      <c r="I421" s="8" t="s">
        <v>1134</v>
      </c>
      <c r="J421" s="8">
        <v>2025</v>
      </c>
      <c r="K421" s="8" t="s">
        <v>18</v>
      </c>
      <c r="L421" s="8" t="s">
        <v>308</v>
      </c>
      <c r="M421" s="9">
        <v>8</v>
      </c>
      <c r="N421">
        <f t="shared" si="12"/>
        <v>210</v>
      </c>
      <c r="O421" t="str">
        <f t="shared" si="13"/>
        <v>Medium</v>
      </c>
    </row>
    <row r="422" spans="1:15" x14ac:dyDescent="0.25">
      <c r="A422" s="5" t="s">
        <v>1135</v>
      </c>
      <c r="B422" s="5" t="s">
        <v>1136</v>
      </c>
      <c r="C422" s="5" t="s">
        <v>22</v>
      </c>
      <c r="D422" s="5" t="s">
        <v>23</v>
      </c>
      <c r="E422" s="5">
        <v>8.6300000000000008</v>
      </c>
      <c r="F422" s="5">
        <v>83</v>
      </c>
      <c r="G422" s="5">
        <v>95</v>
      </c>
      <c r="H422" s="5">
        <v>0</v>
      </c>
      <c r="I422" s="5" t="s">
        <v>1137</v>
      </c>
      <c r="J422" s="5">
        <v>2026</v>
      </c>
      <c r="K422" s="5" t="s">
        <v>18</v>
      </c>
      <c r="L422" s="5" t="s">
        <v>308</v>
      </c>
      <c r="M422" s="6">
        <v>13.4</v>
      </c>
      <c r="N422">
        <f t="shared" si="12"/>
        <v>132</v>
      </c>
      <c r="O422" t="str">
        <f t="shared" si="13"/>
        <v>High</v>
      </c>
    </row>
    <row r="423" spans="1:15" x14ac:dyDescent="0.25">
      <c r="A423" s="5" t="s">
        <v>1138</v>
      </c>
      <c r="B423" s="8" t="s">
        <v>611</v>
      </c>
      <c r="C423" s="8" t="s">
        <v>22</v>
      </c>
      <c r="D423" s="8" t="s">
        <v>16</v>
      </c>
      <c r="E423" s="8">
        <v>9.68</v>
      </c>
      <c r="F423" s="8">
        <v>77.900000000000006</v>
      </c>
      <c r="G423" s="8">
        <v>73.3</v>
      </c>
      <c r="H423" s="8">
        <v>0</v>
      </c>
      <c r="I423" s="8" t="s">
        <v>1139</v>
      </c>
      <c r="J423" s="8">
        <v>2026</v>
      </c>
      <c r="K423" s="8" t="s">
        <v>34</v>
      </c>
      <c r="L423" s="8" t="s">
        <v>79</v>
      </c>
      <c r="M423" s="9"/>
      <c r="N423">
        <f t="shared" si="12"/>
        <v>12</v>
      </c>
      <c r="O423" t="str">
        <f t="shared" si="13"/>
        <v>Very High</v>
      </c>
    </row>
    <row r="424" spans="1:15" x14ac:dyDescent="0.25">
      <c r="A424" s="5" t="s">
        <v>1140</v>
      </c>
      <c r="B424" s="5" t="s">
        <v>491</v>
      </c>
      <c r="C424" s="5" t="s">
        <v>54</v>
      </c>
      <c r="D424" s="5" t="s">
        <v>42</v>
      </c>
      <c r="E424" s="5">
        <v>6.36</v>
      </c>
      <c r="F424" s="5">
        <v>78.099999999999994</v>
      </c>
      <c r="G424" s="5">
        <v>64.2</v>
      </c>
      <c r="H424" s="5">
        <v>0</v>
      </c>
      <c r="I424" s="5" t="s">
        <v>1141</v>
      </c>
      <c r="J424" s="5">
        <v>2026</v>
      </c>
      <c r="K424" s="5" t="s">
        <v>34</v>
      </c>
      <c r="L424" s="5" t="s">
        <v>79</v>
      </c>
      <c r="M424" s="6"/>
      <c r="N424">
        <f t="shared" si="12"/>
        <v>420</v>
      </c>
      <c r="O424" t="str">
        <f t="shared" si="13"/>
        <v>Low</v>
      </c>
    </row>
    <row r="425" spans="1:15" x14ac:dyDescent="0.25">
      <c r="A425" s="5" t="s">
        <v>1142</v>
      </c>
      <c r="B425" s="8" t="s">
        <v>1143</v>
      </c>
      <c r="C425" s="8" t="s">
        <v>22</v>
      </c>
      <c r="D425" s="8" t="s">
        <v>118</v>
      </c>
      <c r="E425" s="8">
        <v>6.58</v>
      </c>
      <c r="F425" s="8">
        <v>58.5</v>
      </c>
      <c r="G425" s="8">
        <v>89.1</v>
      </c>
      <c r="H425" s="8">
        <v>0</v>
      </c>
      <c r="I425" s="8" t="s">
        <v>1144</v>
      </c>
      <c r="J425" s="8">
        <v>2026</v>
      </c>
      <c r="K425" s="8" t="s">
        <v>18</v>
      </c>
      <c r="L425" s="8" t="s">
        <v>59</v>
      </c>
      <c r="M425" s="9">
        <v>8.6999999999999993</v>
      </c>
      <c r="N425">
        <f t="shared" si="12"/>
        <v>391</v>
      </c>
      <c r="O425" t="str">
        <f t="shared" si="13"/>
        <v>Low</v>
      </c>
    </row>
    <row r="426" spans="1:15" x14ac:dyDescent="0.25">
      <c r="A426" s="5" t="s">
        <v>1145</v>
      </c>
      <c r="B426" s="5" t="s">
        <v>1146</v>
      </c>
      <c r="C426" s="5" t="s">
        <v>54</v>
      </c>
      <c r="D426" s="5" t="s">
        <v>42</v>
      </c>
      <c r="E426" s="5">
        <v>8.66</v>
      </c>
      <c r="F426" s="5">
        <v>73</v>
      </c>
      <c r="G426" s="5">
        <v>67.8</v>
      </c>
      <c r="H426" s="5">
        <v>0</v>
      </c>
      <c r="I426" s="5" t="s">
        <v>1147</v>
      </c>
      <c r="J426" s="5">
        <v>2026</v>
      </c>
      <c r="K426" s="5" t="s">
        <v>18</v>
      </c>
      <c r="L426" s="5" t="s">
        <v>38</v>
      </c>
      <c r="M426" s="6">
        <v>8</v>
      </c>
      <c r="N426">
        <f t="shared" si="12"/>
        <v>128</v>
      </c>
      <c r="O426" t="str">
        <f t="shared" si="13"/>
        <v>High</v>
      </c>
    </row>
    <row r="427" spans="1:15" x14ac:dyDescent="0.25">
      <c r="A427" s="5" t="s">
        <v>1148</v>
      </c>
      <c r="B427" s="8" t="s">
        <v>942</v>
      </c>
      <c r="C427" s="8" t="s">
        <v>41</v>
      </c>
      <c r="D427" s="8" t="s">
        <v>46</v>
      </c>
      <c r="E427" s="8">
        <v>9.02</v>
      </c>
      <c r="F427" s="8">
        <v>95.8</v>
      </c>
      <c r="G427" s="8">
        <v>69.5</v>
      </c>
      <c r="H427" s="8">
        <v>1</v>
      </c>
      <c r="I427" s="8" t="s">
        <v>1149</v>
      </c>
      <c r="J427" s="8">
        <v>2026</v>
      </c>
      <c r="K427" s="8" t="s">
        <v>30</v>
      </c>
      <c r="L427" s="8" t="s">
        <v>79</v>
      </c>
      <c r="M427" s="9"/>
      <c r="N427">
        <f t="shared" si="12"/>
        <v>83</v>
      </c>
      <c r="O427" t="str">
        <f t="shared" si="13"/>
        <v>Very High</v>
      </c>
    </row>
    <row r="428" spans="1:15" x14ac:dyDescent="0.25">
      <c r="A428" s="5" t="s">
        <v>1150</v>
      </c>
      <c r="B428" s="5" t="s">
        <v>1151</v>
      </c>
      <c r="C428" s="5" t="s">
        <v>54</v>
      </c>
      <c r="D428" s="5" t="s">
        <v>42</v>
      </c>
      <c r="E428" s="5">
        <v>5.83</v>
      </c>
      <c r="F428" s="5">
        <v>81.8</v>
      </c>
      <c r="G428" s="5">
        <v>62.6</v>
      </c>
      <c r="H428" s="5">
        <v>0</v>
      </c>
      <c r="I428" s="5" t="s">
        <v>1152</v>
      </c>
      <c r="J428" s="5">
        <v>2026</v>
      </c>
      <c r="K428" s="5" t="s">
        <v>34</v>
      </c>
      <c r="L428" s="5" t="s">
        <v>79</v>
      </c>
      <c r="M428" s="6"/>
      <c r="N428">
        <f t="shared" si="12"/>
        <v>473</v>
      </c>
      <c r="O428" t="str">
        <f t="shared" si="13"/>
        <v>Low</v>
      </c>
    </row>
    <row r="429" spans="1:15" x14ac:dyDescent="0.25">
      <c r="A429" s="5" t="s">
        <v>1153</v>
      </c>
      <c r="B429" s="8" t="s">
        <v>1154</v>
      </c>
      <c r="C429" s="8" t="s">
        <v>41</v>
      </c>
      <c r="D429" s="8" t="s">
        <v>28</v>
      </c>
      <c r="E429" s="8">
        <v>8.0399999999999991</v>
      </c>
      <c r="F429" s="8">
        <v>74.5</v>
      </c>
      <c r="G429" s="8">
        <v>51.2</v>
      </c>
      <c r="H429" s="8">
        <v>0</v>
      </c>
      <c r="I429" s="8" t="s">
        <v>1155</v>
      </c>
      <c r="J429" s="8">
        <v>2026</v>
      </c>
      <c r="K429" s="8" t="s">
        <v>18</v>
      </c>
      <c r="L429" s="8" t="s">
        <v>308</v>
      </c>
      <c r="M429" s="9">
        <v>8.5</v>
      </c>
      <c r="N429">
        <f t="shared" si="12"/>
        <v>201</v>
      </c>
      <c r="O429" t="str">
        <f t="shared" si="13"/>
        <v>High</v>
      </c>
    </row>
    <row r="430" spans="1:15" x14ac:dyDescent="0.25">
      <c r="A430" s="5" t="s">
        <v>1156</v>
      </c>
      <c r="B430" s="5" t="s">
        <v>1114</v>
      </c>
      <c r="C430" s="5" t="s">
        <v>15</v>
      </c>
      <c r="D430" s="5" t="s">
        <v>16</v>
      </c>
      <c r="E430" s="5">
        <v>8.86</v>
      </c>
      <c r="F430" s="5">
        <v>75.7</v>
      </c>
      <c r="G430" s="5">
        <v>94.6</v>
      </c>
      <c r="H430" s="5">
        <v>0</v>
      </c>
      <c r="I430" s="5" t="s">
        <v>1157</v>
      </c>
      <c r="J430" s="5">
        <v>2026</v>
      </c>
      <c r="K430" s="5" t="s">
        <v>30</v>
      </c>
      <c r="L430" s="5" t="s">
        <v>79</v>
      </c>
      <c r="M430" s="6"/>
      <c r="N430">
        <f t="shared" si="12"/>
        <v>93</v>
      </c>
      <c r="O430" t="str">
        <f t="shared" si="13"/>
        <v>High</v>
      </c>
    </row>
    <row r="431" spans="1:15" x14ac:dyDescent="0.25">
      <c r="A431" s="5" t="s">
        <v>1158</v>
      </c>
      <c r="B431" s="8" t="s">
        <v>1159</v>
      </c>
      <c r="C431" s="8" t="s">
        <v>41</v>
      </c>
      <c r="D431" s="8" t="s">
        <v>42</v>
      </c>
      <c r="E431" s="8">
        <v>9.18</v>
      </c>
      <c r="F431" s="8">
        <v>61.8</v>
      </c>
      <c r="G431" s="8">
        <v>52.7</v>
      </c>
      <c r="H431" s="8">
        <v>0</v>
      </c>
      <c r="I431" s="8" t="s">
        <v>1160</v>
      </c>
      <c r="J431" s="8">
        <v>2026</v>
      </c>
      <c r="K431" s="8" t="s">
        <v>18</v>
      </c>
      <c r="L431" s="8" t="s">
        <v>38</v>
      </c>
      <c r="M431" s="9">
        <v>13.5</v>
      </c>
      <c r="N431">
        <f t="shared" si="12"/>
        <v>67</v>
      </c>
      <c r="O431" t="str">
        <f t="shared" si="13"/>
        <v>Very High</v>
      </c>
    </row>
    <row r="432" spans="1:15" x14ac:dyDescent="0.25">
      <c r="A432" s="5" t="s">
        <v>1161</v>
      </c>
      <c r="B432" s="5" t="s">
        <v>1162</v>
      </c>
      <c r="C432" s="5" t="s">
        <v>1163</v>
      </c>
      <c r="D432" s="5" t="s">
        <v>42</v>
      </c>
      <c r="E432" s="5">
        <v>7.86</v>
      </c>
      <c r="F432" s="5">
        <v>87.2</v>
      </c>
      <c r="G432" s="5">
        <v>58.4</v>
      </c>
      <c r="H432" s="5">
        <v>0</v>
      </c>
      <c r="I432" s="5" t="s">
        <v>1164</v>
      </c>
      <c r="J432" s="5">
        <v>2026</v>
      </c>
      <c r="K432" s="5" t="s">
        <v>34</v>
      </c>
      <c r="L432" s="5" t="s">
        <v>79</v>
      </c>
      <c r="M432" s="6"/>
      <c r="N432">
        <f t="shared" si="12"/>
        <v>218</v>
      </c>
      <c r="O432" t="str">
        <f t="shared" si="13"/>
        <v>Medium</v>
      </c>
    </row>
    <row r="433" spans="1:15" x14ac:dyDescent="0.25">
      <c r="A433" s="5" t="s">
        <v>1165</v>
      </c>
      <c r="B433" s="8" t="s">
        <v>1079</v>
      </c>
      <c r="C433" s="8" t="s">
        <v>15</v>
      </c>
      <c r="D433" s="8" t="s">
        <v>62</v>
      </c>
      <c r="E433" s="8">
        <v>8.1199999999999992</v>
      </c>
      <c r="F433" s="8">
        <v>89.6</v>
      </c>
      <c r="G433" s="8">
        <v>50.6</v>
      </c>
      <c r="H433" s="8">
        <v>0</v>
      </c>
      <c r="I433" s="8" t="s">
        <v>1166</v>
      </c>
      <c r="J433" s="8">
        <v>2025</v>
      </c>
      <c r="K433" s="8" t="s">
        <v>18</v>
      </c>
      <c r="L433" s="8" t="s">
        <v>19</v>
      </c>
      <c r="M433" s="9">
        <v>12.2</v>
      </c>
      <c r="N433">
        <f t="shared" si="12"/>
        <v>191</v>
      </c>
      <c r="O433" t="str">
        <f t="shared" si="13"/>
        <v>High</v>
      </c>
    </row>
    <row r="434" spans="1:15" x14ac:dyDescent="0.25">
      <c r="A434" s="5" t="s">
        <v>1167</v>
      </c>
      <c r="B434" s="5" t="s">
        <v>523</v>
      </c>
      <c r="C434" s="5" t="s">
        <v>15</v>
      </c>
      <c r="D434" s="5" t="s">
        <v>28</v>
      </c>
      <c r="E434" s="5">
        <v>7.64</v>
      </c>
      <c r="F434" s="5">
        <v>58.2</v>
      </c>
      <c r="G434" s="5">
        <v>87.7</v>
      </c>
      <c r="H434" s="5">
        <v>2</v>
      </c>
      <c r="I434" s="5" t="s">
        <v>1168</v>
      </c>
      <c r="J434" s="5">
        <v>2027</v>
      </c>
      <c r="K434" s="5" t="s">
        <v>34</v>
      </c>
      <c r="L434" s="5" t="s">
        <v>79</v>
      </c>
      <c r="M434" s="6"/>
      <c r="N434">
        <f t="shared" si="12"/>
        <v>251</v>
      </c>
      <c r="O434" t="str">
        <f t="shared" si="13"/>
        <v>Medium</v>
      </c>
    </row>
    <row r="435" spans="1:15" x14ac:dyDescent="0.25">
      <c r="A435" s="5" t="s">
        <v>1169</v>
      </c>
      <c r="B435" s="8" t="s">
        <v>97</v>
      </c>
      <c r="C435" s="8" t="s">
        <v>15</v>
      </c>
      <c r="D435" s="8" t="s">
        <v>62</v>
      </c>
      <c r="E435" s="8">
        <v>9.06</v>
      </c>
      <c r="F435" s="8">
        <v>64.3</v>
      </c>
      <c r="G435" s="8">
        <v>89.4</v>
      </c>
      <c r="H435" s="8">
        <v>0</v>
      </c>
      <c r="I435" s="8" t="s">
        <v>1170</v>
      </c>
      <c r="J435" s="8">
        <v>2025</v>
      </c>
      <c r="K435" s="8" t="s">
        <v>18</v>
      </c>
      <c r="L435" s="8" t="s">
        <v>157</v>
      </c>
      <c r="M435" s="9">
        <v>11.4</v>
      </c>
      <c r="N435">
        <f t="shared" si="12"/>
        <v>79</v>
      </c>
      <c r="O435" t="str">
        <f t="shared" si="13"/>
        <v>Very High</v>
      </c>
    </row>
    <row r="436" spans="1:15" x14ac:dyDescent="0.25">
      <c r="A436" s="5" t="s">
        <v>1171</v>
      </c>
      <c r="B436" s="5" t="s">
        <v>1172</v>
      </c>
      <c r="C436" s="5" t="s">
        <v>15</v>
      </c>
      <c r="D436" s="5" t="s">
        <v>28</v>
      </c>
      <c r="E436" s="5">
        <v>8.83</v>
      </c>
      <c r="F436" s="5">
        <v>56.8</v>
      </c>
      <c r="G436" s="5">
        <v>55</v>
      </c>
      <c r="H436" s="5">
        <v>1</v>
      </c>
      <c r="I436" s="5" t="s">
        <v>198</v>
      </c>
      <c r="J436" s="5">
        <v>2027</v>
      </c>
      <c r="K436" s="5" t="s">
        <v>18</v>
      </c>
      <c r="L436" s="5" t="s">
        <v>188</v>
      </c>
      <c r="M436" s="6">
        <v>10.4</v>
      </c>
      <c r="N436">
        <f t="shared" si="12"/>
        <v>99</v>
      </c>
      <c r="O436" t="str">
        <f t="shared" si="13"/>
        <v>High</v>
      </c>
    </row>
    <row r="437" spans="1:15" x14ac:dyDescent="0.25">
      <c r="A437" s="5" t="s">
        <v>1173</v>
      </c>
      <c r="B437" s="8" t="s">
        <v>310</v>
      </c>
      <c r="C437" s="8" t="s">
        <v>15</v>
      </c>
      <c r="D437" s="8" t="s">
        <v>62</v>
      </c>
      <c r="E437" s="8">
        <v>6.62</v>
      </c>
      <c r="F437" s="8">
        <v>92.8</v>
      </c>
      <c r="G437" s="8">
        <v>58.5</v>
      </c>
      <c r="H437" s="8">
        <v>0</v>
      </c>
      <c r="I437" s="8" t="s">
        <v>1174</v>
      </c>
      <c r="J437" s="8">
        <v>2027</v>
      </c>
      <c r="K437" s="8" t="s">
        <v>18</v>
      </c>
      <c r="L437" s="8" t="s">
        <v>308</v>
      </c>
      <c r="M437" s="9">
        <v>12.4</v>
      </c>
      <c r="N437">
        <f t="shared" si="12"/>
        <v>384</v>
      </c>
      <c r="O437" t="str">
        <f t="shared" si="13"/>
        <v>Low</v>
      </c>
    </row>
    <row r="438" spans="1:15" x14ac:dyDescent="0.25">
      <c r="A438" s="5" t="s">
        <v>1175</v>
      </c>
      <c r="B438" s="5" t="s">
        <v>1082</v>
      </c>
      <c r="C438" s="5" t="s">
        <v>22</v>
      </c>
      <c r="D438" s="5" t="s">
        <v>23</v>
      </c>
      <c r="E438" s="5">
        <v>8.08</v>
      </c>
      <c r="F438" s="5">
        <v>59.2</v>
      </c>
      <c r="G438" s="5">
        <v>76.599999999999994</v>
      </c>
      <c r="H438" s="5">
        <v>0</v>
      </c>
      <c r="I438" s="5" t="s">
        <v>1176</v>
      </c>
      <c r="J438" s="5">
        <v>2027</v>
      </c>
      <c r="K438" s="5" t="s">
        <v>30</v>
      </c>
      <c r="L438" s="5" t="s">
        <v>79</v>
      </c>
      <c r="M438" s="6"/>
      <c r="N438">
        <f t="shared" si="12"/>
        <v>195</v>
      </c>
      <c r="O438" t="str">
        <f t="shared" si="13"/>
        <v>High</v>
      </c>
    </row>
    <row r="439" spans="1:15" x14ac:dyDescent="0.25">
      <c r="A439" s="5" t="s">
        <v>1177</v>
      </c>
      <c r="B439" s="8" t="s">
        <v>1178</v>
      </c>
      <c r="C439" s="8" t="s">
        <v>54</v>
      </c>
      <c r="D439" s="8" t="s">
        <v>46</v>
      </c>
      <c r="E439" s="8">
        <v>8.59</v>
      </c>
      <c r="F439" s="8">
        <v>62.8</v>
      </c>
      <c r="G439" s="8">
        <v>81</v>
      </c>
      <c r="H439" s="8">
        <v>0</v>
      </c>
      <c r="I439" s="8" t="s">
        <v>1179</v>
      </c>
      <c r="J439" s="8">
        <v>2026</v>
      </c>
      <c r="K439" s="8" t="s">
        <v>18</v>
      </c>
      <c r="L439" s="8" t="s">
        <v>138</v>
      </c>
      <c r="M439" s="9">
        <v>4.5</v>
      </c>
      <c r="N439">
        <f t="shared" si="12"/>
        <v>137</v>
      </c>
      <c r="O439" t="str">
        <f t="shared" si="13"/>
        <v>High</v>
      </c>
    </row>
    <row r="440" spans="1:15" x14ac:dyDescent="0.25">
      <c r="A440" s="5" t="s">
        <v>1180</v>
      </c>
      <c r="B440" s="5" t="s">
        <v>980</v>
      </c>
      <c r="C440" s="5" t="s">
        <v>22</v>
      </c>
      <c r="D440" s="5" t="s">
        <v>118</v>
      </c>
      <c r="E440" s="5">
        <v>8.85</v>
      </c>
      <c r="F440" s="5">
        <v>84.6</v>
      </c>
      <c r="G440" s="5">
        <v>75.599999999999994</v>
      </c>
      <c r="H440" s="5">
        <v>0</v>
      </c>
      <c r="I440" s="5" t="s">
        <v>1181</v>
      </c>
      <c r="J440" s="5">
        <v>2026</v>
      </c>
      <c r="K440" s="5" t="s">
        <v>30</v>
      </c>
      <c r="L440" s="5" t="s">
        <v>79</v>
      </c>
      <c r="M440" s="6"/>
      <c r="N440">
        <f t="shared" si="12"/>
        <v>95</v>
      </c>
      <c r="O440" t="str">
        <f t="shared" si="13"/>
        <v>High</v>
      </c>
    </row>
    <row r="441" spans="1:15" x14ac:dyDescent="0.25">
      <c r="A441" s="5" t="s">
        <v>1182</v>
      </c>
      <c r="B441" s="8" t="s">
        <v>327</v>
      </c>
      <c r="C441" s="8" t="s">
        <v>22</v>
      </c>
      <c r="D441" s="8" t="s">
        <v>23</v>
      </c>
      <c r="E441" s="8">
        <v>7.43</v>
      </c>
      <c r="F441" s="8">
        <v>96.4</v>
      </c>
      <c r="G441" s="8">
        <v>69.7</v>
      </c>
      <c r="H441" s="8">
        <v>1</v>
      </c>
      <c r="I441" s="8" t="s">
        <v>689</v>
      </c>
      <c r="J441" s="8">
        <v>2026</v>
      </c>
      <c r="K441" s="8" t="s">
        <v>30</v>
      </c>
      <c r="L441" s="8" t="s">
        <v>79</v>
      </c>
      <c r="M441" s="9"/>
      <c r="N441">
        <f t="shared" si="12"/>
        <v>287</v>
      </c>
      <c r="O441" t="str">
        <f t="shared" si="13"/>
        <v>Medium</v>
      </c>
    </row>
    <row r="442" spans="1:15" x14ac:dyDescent="0.25">
      <c r="A442" s="5" t="s">
        <v>1183</v>
      </c>
      <c r="B442" s="5" t="s">
        <v>1184</v>
      </c>
      <c r="C442" s="5" t="s">
        <v>15</v>
      </c>
      <c r="D442" s="5" t="s">
        <v>16</v>
      </c>
      <c r="E442" s="5">
        <v>7.38</v>
      </c>
      <c r="F442" s="5">
        <v>84.2</v>
      </c>
      <c r="G442" s="5">
        <v>95</v>
      </c>
      <c r="H442" s="5">
        <v>0</v>
      </c>
      <c r="I442" s="5" t="s">
        <v>1185</v>
      </c>
      <c r="J442" s="5">
        <v>2026</v>
      </c>
      <c r="K442" s="5" t="s">
        <v>34</v>
      </c>
      <c r="L442" s="5" t="s">
        <v>79</v>
      </c>
      <c r="M442" s="6"/>
      <c r="N442">
        <f t="shared" si="12"/>
        <v>292</v>
      </c>
      <c r="O442" t="str">
        <f t="shared" si="13"/>
        <v>Medium</v>
      </c>
    </row>
    <row r="443" spans="1:15" x14ac:dyDescent="0.25">
      <c r="A443" s="5" t="s">
        <v>1186</v>
      </c>
      <c r="B443" s="8" t="s">
        <v>110</v>
      </c>
      <c r="C443" s="8" t="s">
        <v>54</v>
      </c>
      <c r="D443" s="8" t="s">
        <v>169</v>
      </c>
      <c r="E443" s="8">
        <v>7.8</v>
      </c>
      <c r="F443" s="8">
        <v>87.1</v>
      </c>
      <c r="G443" s="8">
        <v>85.2</v>
      </c>
      <c r="H443" s="8">
        <v>0</v>
      </c>
      <c r="I443" s="8" t="s">
        <v>1187</v>
      </c>
      <c r="J443" s="8">
        <v>2026</v>
      </c>
      <c r="K443" s="8" t="s">
        <v>34</v>
      </c>
      <c r="L443" s="8" t="s">
        <v>79</v>
      </c>
      <c r="M443" s="9"/>
      <c r="N443">
        <f t="shared" si="12"/>
        <v>226</v>
      </c>
      <c r="O443" t="str">
        <f t="shared" si="13"/>
        <v>Medium</v>
      </c>
    </row>
    <row r="444" spans="1:15" x14ac:dyDescent="0.25">
      <c r="A444" s="5" t="s">
        <v>1188</v>
      </c>
      <c r="B444" s="5" t="s">
        <v>1105</v>
      </c>
      <c r="C444" s="5" t="s">
        <v>54</v>
      </c>
      <c r="D444" s="5" t="s">
        <v>46</v>
      </c>
      <c r="E444" s="5">
        <v>6.72</v>
      </c>
      <c r="F444" s="5">
        <v>94.6</v>
      </c>
      <c r="G444" s="5">
        <v>51.4</v>
      </c>
      <c r="H444" s="5">
        <v>0</v>
      </c>
      <c r="I444" s="5" t="s">
        <v>1189</v>
      </c>
      <c r="J444" s="5">
        <v>2027</v>
      </c>
      <c r="K444" s="5" t="s">
        <v>30</v>
      </c>
      <c r="L444" s="5" t="s">
        <v>79</v>
      </c>
      <c r="M444" s="6"/>
      <c r="N444">
        <f t="shared" si="12"/>
        <v>371</v>
      </c>
      <c r="O444" t="str">
        <f t="shared" si="13"/>
        <v>Low</v>
      </c>
    </row>
    <row r="445" spans="1:15" x14ac:dyDescent="0.25">
      <c r="A445" s="5" t="s">
        <v>1190</v>
      </c>
      <c r="B445" s="8" t="s">
        <v>701</v>
      </c>
      <c r="C445" s="8" t="s">
        <v>41</v>
      </c>
      <c r="D445" s="8" t="s">
        <v>42</v>
      </c>
      <c r="E445" s="8">
        <v>8.84</v>
      </c>
      <c r="F445" s="8">
        <v>82.8</v>
      </c>
      <c r="G445" s="8">
        <v>73.900000000000006</v>
      </c>
      <c r="H445" s="8">
        <v>0</v>
      </c>
      <c r="I445" s="8" t="s">
        <v>1191</v>
      </c>
      <c r="J445" s="8">
        <v>2026</v>
      </c>
      <c r="K445" s="8" t="s">
        <v>18</v>
      </c>
      <c r="L445" s="8" t="s">
        <v>108</v>
      </c>
      <c r="M445" s="9">
        <v>9</v>
      </c>
      <c r="N445">
        <f t="shared" si="12"/>
        <v>96</v>
      </c>
      <c r="O445" t="str">
        <f t="shared" si="13"/>
        <v>High</v>
      </c>
    </row>
    <row r="446" spans="1:15" x14ac:dyDescent="0.25">
      <c r="A446" s="5" t="s">
        <v>1192</v>
      </c>
      <c r="B446" s="5" t="s">
        <v>526</v>
      </c>
      <c r="C446" s="5" t="s">
        <v>54</v>
      </c>
      <c r="D446" s="5" t="s">
        <v>42</v>
      </c>
      <c r="E446" s="5">
        <v>7.33</v>
      </c>
      <c r="F446" s="5">
        <v>68.2</v>
      </c>
      <c r="G446" s="5">
        <v>67.3</v>
      </c>
      <c r="H446" s="5">
        <v>0</v>
      </c>
      <c r="I446" s="5" t="s">
        <v>779</v>
      </c>
      <c r="J446" s="5">
        <v>2026</v>
      </c>
      <c r="K446" s="5" t="s">
        <v>30</v>
      </c>
      <c r="L446" s="5" t="s">
        <v>79</v>
      </c>
      <c r="M446" s="6"/>
      <c r="N446">
        <f t="shared" si="12"/>
        <v>297</v>
      </c>
      <c r="O446" t="str">
        <f t="shared" si="13"/>
        <v>Medium</v>
      </c>
    </row>
    <row r="447" spans="1:15" x14ac:dyDescent="0.25">
      <c r="A447" s="5" t="s">
        <v>1193</v>
      </c>
      <c r="B447" s="8" t="s">
        <v>405</v>
      </c>
      <c r="C447" s="8" t="s">
        <v>54</v>
      </c>
      <c r="D447" s="8" t="s">
        <v>42</v>
      </c>
      <c r="E447" s="8">
        <v>7.05</v>
      </c>
      <c r="F447" s="8">
        <v>71.3</v>
      </c>
      <c r="G447" s="8">
        <v>85.1</v>
      </c>
      <c r="H447" s="8">
        <v>0</v>
      </c>
      <c r="I447" s="8" t="s">
        <v>1194</v>
      </c>
      <c r="J447" s="8">
        <v>2027</v>
      </c>
      <c r="K447" s="8" t="s">
        <v>34</v>
      </c>
      <c r="L447" s="8" t="s">
        <v>79</v>
      </c>
      <c r="M447" s="9"/>
      <c r="N447">
        <f t="shared" si="12"/>
        <v>332</v>
      </c>
      <c r="O447" t="str">
        <f t="shared" si="13"/>
        <v>Medium</v>
      </c>
    </row>
    <row r="448" spans="1:15" x14ac:dyDescent="0.25">
      <c r="A448" s="5" t="s">
        <v>1195</v>
      </c>
      <c r="B448" s="5" t="s">
        <v>1196</v>
      </c>
      <c r="C448" s="5" t="s">
        <v>54</v>
      </c>
      <c r="D448" s="5" t="s">
        <v>169</v>
      </c>
      <c r="E448" s="5">
        <v>8.51</v>
      </c>
      <c r="F448" s="5">
        <v>87.2</v>
      </c>
      <c r="G448" s="5">
        <v>63.1</v>
      </c>
      <c r="H448" s="5">
        <v>0</v>
      </c>
      <c r="I448" s="5" t="s">
        <v>1197</v>
      </c>
      <c r="J448" s="5">
        <v>2026</v>
      </c>
      <c r="K448" s="5" t="s">
        <v>34</v>
      </c>
      <c r="L448" s="5" t="s">
        <v>79</v>
      </c>
      <c r="M448" s="6"/>
      <c r="N448">
        <f t="shared" si="12"/>
        <v>144</v>
      </c>
      <c r="O448" t="str">
        <f t="shared" si="13"/>
        <v>High</v>
      </c>
    </row>
    <row r="449" spans="1:15" x14ac:dyDescent="0.25">
      <c r="A449" s="5" t="s">
        <v>1198</v>
      </c>
      <c r="B449" s="8" t="s">
        <v>1199</v>
      </c>
      <c r="C449" s="8" t="s">
        <v>54</v>
      </c>
      <c r="D449" s="8" t="s">
        <v>42</v>
      </c>
      <c r="E449" s="8">
        <v>7.51</v>
      </c>
      <c r="F449" s="8">
        <v>96.7</v>
      </c>
      <c r="G449" s="8">
        <v>68.900000000000006</v>
      </c>
      <c r="H449" s="8">
        <v>0</v>
      </c>
      <c r="I449" s="8" t="s">
        <v>1200</v>
      </c>
      <c r="J449" s="8">
        <v>2026</v>
      </c>
      <c r="K449" s="8" t="s">
        <v>34</v>
      </c>
      <c r="L449" s="8" t="s">
        <v>79</v>
      </c>
      <c r="M449" s="9"/>
      <c r="N449">
        <f t="shared" si="12"/>
        <v>275</v>
      </c>
      <c r="O449" t="str">
        <f t="shared" si="13"/>
        <v>Medium</v>
      </c>
    </row>
    <row r="450" spans="1:15" x14ac:dyDescent="0.25">
      <c r="A450" s="5" t="s">
        <v>1201</v>
      </c>
      <c r="B450" s="5" t="s">
        <v>1202</v>
      </c>
      <c r="C450" s="5" t="s">
        <v>15</v>
      </c>
      <c r="D450" s="5" t="s">
        <v>28</v>
      </c>
      <c r="E450" s="5">
        <v>6.48</v>
      </c>
      <c r="F450" s="5">
        <v>77.599999999999994</v>
      </c>
      <c r="G450" s="5">
        <v>51.7</v>
      </c>
      <c r="H450" s="5">
        <v>0</v>
      </c>
      <c r="I450" s="5" t="s">
        <v>1203</v>
      </c>
      <c r="J450" s="5">
        <v>2026</v>
      </c>
      <c r="K450" s="5" t="s">
        <v>34</v>
      </c>
      <c r="L450" s="5" t="s">
        <v>79</v>
      </c>
      <c r="M450" s="6"/>
      <c r="N450">
        <f t="shared" si="12"/>
        <v>408</v>
      </c>
      <c r="O450" t="str">
        <f t="shared" si="13"/>
        <v>Low</v>
      </c>
    </row>
    <row r="451" spans="1:15" x14ac:dyDescent="0.25">
      <c r="A451" s="5" t="s">
        <v>1204</v>
      </c>
      <c r="B451" s="8" t="s">
        <v>573</v>
      </c>
      <c r="C451" s="8" t="s">
        <v>54</v>
      </c>
      <c r="D451" s="8" t="s">
        <v>46</v>
      </c>
      <c r="E451" s="8">
        <v>8.09</v>
      </c>
      <c r="F451" s="8">
        <v>88.9</v>
      </c>
      <c r="G451" s="8">
        <v>54.6</v>
      </c>
      <c r="H451" s="8">
        <v>0</v>
      </c>
      <c r="I451" s="8" t="s">
        <v>1205</v>
      </c>
      <c r="J451" s="8">
        <v>2026</v>
      </c>
      <c r="K451" s="8" t="s">
        <v>18</v>
      </c>
      <c r="L451" s="8" t="s">
        <v>70</v>
      </c>
      <c r="M451" s="9">
        <v>5.4</v>
      </c>
      <c r="N451">
        <f t="shared" ref="N451:N481" si="14">RANK(E451,$E$2:$E$481,0)</f>
        <v>194</v>
      </c>
      <c r="O451" t="str">
        <f t="shared" ref="O451:O481" si="15">IF(E451&gt;=9,"Very High",IF(E451&gt;=8,"High",IF(E451&gt;=7,"Medium","Low")))</f>
        <v>High</v>
      </c>
    </row>
    <row r="452" spans="1:15" x14ac:dyDescent="0.25">
      <c r="A452" s="5" t="s">
        <v>1206</v>
      </c>
      <c r="B452" s="5" t="s">
        <v>1207</v>
      </c>
      <c r="C452" s="5" t="s">
        <v>22</v>
      </c>
      <c r="D452" s="5" t="s">
        <v>118</v>
      </c>
      <c r="E452" s="5">
        <v>6.86</v>
      </c>
      <c r="F452" s="5">
        <v>67.5</v>
      </c>
      <c r="G452" s="5">
        <v>76.400000000000006</v>
      </c>
      <c r="H452" s="5">
        <v>1</v>
      </c>
      <c r="I452" s="5" t="s">
        <v>1017</v>
      </c>
      <c r="J452" s="5">
        <v>2026</v>
      </c>
      <c r="K452" s="5" t="s">
        <v>30</v>
      </c>
      <c r="L452" s="5" t="s">
        <v>79</v>
      </c>
      <c r="M452" s="6"/>
      <c r="N452">
        <f t="shared" si="14"/>
        <v>353</v>
      </c>
      <c r="O452" t="str">
        <f t="shared" si="15"/>
        <v>Low</v>
      </c>
    </row>
    <row r="453" spans="1:15" x14ac:dyDescent="0.25">
      <c r="A453" s="5" t="s">
        <v>1208</v>
      </c>
      <c r="B453" s="8" t="s">
        <v>1023</v>
      </c>
      <c r="C453" s="8" t="s">
        <v>54</v>
      </c>
      <c r="D453" s="8" t="s">
        <v>46</v>
      </c>
      <c r="E453" s="8">
        <v>6.64</v>
      </c>
      <c r="F453" s="8">
        <v>88.4</v>
      </c>
      <c r="G453" s="8">
        <v>80</v>
      </c>
      <c r="H453" s="8">
        <v>0</v>
      </c>
      <c r="I453" s="8" t="s">
        <v>1209</v>
      </c>
      <c r="J453" s="8">
        <v>2026</v>
      </c>
      <c r="K453" s="8" t="s">
        <v>18</v>
      </c>
      <c r="L453" s="8" t="s">
        <v>518</v>
      </c>
      <c r="M453" s="9">
        <v>8.1</v>
      </c>
      <c r="N453">
        <f t="shared" si="14"/>
        <v>382</v>
      </c>
      <c r="O453" t="str">
        <f t="shared" si="15"/>
        <v>Low</v>
      </c>
    </row>
    <row r="454" spans="1:15" x14ac:dyDescent="0.25">
      <c r="A454" s="5" t="s">
        <v>1210</v>
      </c>
      <c r="B454" s="5" t="s">
        <v>961</v>
      </c>
      <c r="C454" s="5" t="s">
        <v>22</v>
      </c>
      <c r="D454" s="5" t="s">
        <v>16</v>
      </c>
      <c r="E454" s="5">
        <v>8.31</v>
      </c>
      <c r="F454" s="5">
        <v>76.7</v>
      </c>
      <c r="G454" s="5">
        <v>58.6</v>
      </c>
      <c r="H454" s="5">
        <v>0</v>
      </c>
      <c r="I454" s="5" t="s">
        <v>1211</v>
      </c>
      <c r="J454" s="5">
        <v>2026</v>
      </c>
      <c r="K454" s="5" t="s">
        <v>18</v>
      </c>
      <c r="L454" s="5" t="s">
        <v>138</v>
      </c>
      <c r="M454" s="6">
        <v>8.1999999999999993</v>
      </c>
      <c r="N454">
        <f t="shared" si="14"/>
        <v>168</v>
      </c>
      <c r="O454" t="str">
        <f t="shared" si="15"/>
        <v>High</v>
      </c>
    </row>
    <row r="455" spans="1:15" x14ac:dyDescent="0.25">
      <c r="A455" s="5" t="s">
        <v>1212</v>
      </c>
      <c r="B455" s="8" t="s">
        <v>1213</v>
      </c>
      <c r="C455" s="8" t="s">
        <v>41</v>
      </c>
      <c r="D455" s="8" t="s">
        <v>28</v>
      </c>
      <c r="E455" s="8">
        <v>7.44</v>
      </c>
      <c r="F455" s="8">
        <v>91.1</v>
      </c>
      <c r="G455" s="8">
        <v>91.9</v>
      </c>
      <c r="H455" s="8">
        <v>0</v>
      </c>
      <c r="I455" s="8" t="s">
        <v>1214</v>
      </c>
      <c r="J455" s="8">
        <v>2026</v>
      </c>
      <c r="K455" s="8" t="s">
        <v>18</v>
      </c>
      <c r="L455" s="8" t="s">
        <v>48</v>
      </c>
      <c r="M455" s="9">
        <v>4.8</v>
      </c>
      <c r="N455">
        <f t="shared" si="14"/>
        <v>285</v>
      </c>
      <c r="O455" t="str">
        <f t="shared" si="15"/>
        <v>Medium</v>
      </c>
    </row>
    <row r="456" spans="1:15" x14ac:dyDescent="0.25">
      <c r="A456" s="5" t="s">
        <v>1215</v>
      </c>
      <c r="B456" s="5" t="s">
        <v>482</v>
      </c>
      <c r="C456" s="5" t="s">
        <v>41</v>
      </c>
      <c r="D456" s="5" t="s">
        <v>28</v>
      </c>
      <c r="E456" s="5">
        <v>7.74</v>
      </c>
      <c r="F456" s="5">
        <v>96.6</v>
      </c>
      <c r="G456" s="5">
        <v>69.400000000000006</v>
      </c>
      <c r="H456" s="5">
        <v>1</v>
      </c>
      <c r="I456" s="5" t="s">
        <v>1216</v>
      </c>
      <c r="J456" s="5">
        <v>2025</v>
      </c>
      <c r="K456" s="5" t="s">
        <v>34</v>
      </c>
      <c r="L456" s="5" t="s">
        <v>79</v>
      </c>
      <c r="M456" s="6"/>
      <c r="N456">
        <f t="shared" si="14"/>
        <v>242</v>
      </c>
      <c r="O456" t="str">
        <f t="shared" si="15"/>
        <v>Medium</v>
      </c>
    </row>
    <row r="457" spans="1:15" x14ac:dyDescent="0.25">
      <c r="A457" s="5" t="s">
        <v>1217</v>
      </c>
      <c r="B457" s="8" t="s">
        <v>27</v>
      </c>
      <c r="C457" s="8" t="s">
        <v>22</v>
      </c>
      <c r="D457" s="8" t="s">
        <v>23</v>
      </c>
      <c r="E457" s="8">
        <v>9.2100000000000009</v>
      </c>
      <c r="F457" s="8">
        <v>95.5</v>
      </c>
      <c r="G457" s="8">
        <v>72.3</v>
      </c>
      <c r="H457" s="8">
        <v>0</v>
      </c>
      <c r="I457" s="8" t="s">
        <v>339</v>
      </c>
      <c r="J457" s="8">
        <v>2027</v>
      </c>
      <c r="K457" s="8" t="s">
        <v>34</v>
      </c>
      <c r="L457" s="8" t="s">
        <v>79</v>
      </c>
      <c r="M457" s="9"/>
      <c r="N457">
        <f t="shared" si="14"/>
        <v>61</v>
      </c>
      <c r="O457" t="str">
        <f t="shared" si="15"/>
        <v>Very High</v>
      </c>
    </row>
    <row r="458" spans="1:15" x14ac:dyDescent="0.25">
      <c r="A458" s="5" t="s">
        <v>1218</v>
      </c>
      <c r="B458" s="5" t="s">
        <v>152</v>
      </c>
      <c r="C458" s="5" t="s">
        <v>15</v>
      </c>
      <c r="D458" s="5" t="s">
        <v>28</v>
      </c>
      <c r="E458" s="5">
        <v>9.57</v>
      </c>
      <c r="F458" s="5">
        <v>85.4</v>
      </c>
      <c r="G458" s="5">
        <v>56.5</v>
      </c>
      <c r="H458" s="5">
        <v>0</v>
      </c>
      <c r="I458" s="5" t="s">
        <v>1219</v>
      </c>
      <c r="J458" s="5">
        <v>2026</v>
      </c>
      <c r="K458" s="5" t="s">
        <v>34</v>
      </c>
      <c r="L458" s="5" t="s">
        <v>79</v>
      </c>
      <c r="M458" s="6"/>
      <c r="N458">
        <f t="shared" si="14"/>
        <v>25</v>
      </c>
      <c r="O458" t="str">
        <f t="shared" si="15"/>
        <v>Very High</v>
      </c>
    </row>
    <row r="459" spans="1:15" x14ac:dyDescent="0.25">
      <c r="A459" s="5" t="s">
        <v>1220</v>
      </c>
      <c r="B459" s="8" t="s">
        <v>1221</v>
      </c>
      <c r="C459" s="8" t="s">
        <v>41</v>
      </c>
      <c r="D459" s="8" t="s">
        <v>209</v>
      </c>
      <c r="E459" s="8">
        <v>9.1300000000000008</v>
      </c>
      <c r="F459" s="8">
        <v>86</v>
      </c>
      <c r="G459" s="8">
        <v>87.1</v>
      </c>
      <c r="H459" s="8">
        <v>0</v>
      </c>
      <c r="I459" s="8" t="s">
        <v>1222</v>
      </c>
      <c r="J459" s="8">
        <v>2027</v>
      </c>
      <c r="K459" s="8" t="s">
        <v>18</v>
      </c>
      <c r="L459" s="8" t="s">
        <v>188</v>
      </c>
      <c r="M459" s="9">
        <v>12.5</v>
      </c>
      <c r="N459">
        <f t="shared" si="14"/>
        <v>71</v>
      </c>
      <c r="O459" t="str">
        <f t="shared" si="15"/>
        <v>Very High</v>
      </c>
    </row>
    <row r="460" spans="1:15" x14ac:dyDescent="0.25">
      <c r="A460" s="5" t="s">
        <v>1223</v>
      </c>
      <c r="B460" s="5" t="s">
        <v>738</v>
      </c>
      <c r="C460" s="5" t="s">
        <v>41</v>
      </c>
      <c r="D460" s="5" t="s">
        <v>42</v>
      </c>
      <c r="E460" s="5">
        <v>7.07</v>
      </c>
      <c r="F460" s="5">
        <v>72.8</v>
      </c>
      <c r="G460" s="5">
        <v>81.400000000000006</v>
      </c>
      <c r="H460" s="5">
        <v>2</v>
      </c>
      <c r="I460" s="5" t="s">
        <v>1224</v>
      </c>
      <c r="J460" s="5">
        <v>2026</v>
      </c>
      <c r="K460" s="5" t="s">
        <v>18</v>
      </c>
      <c r="L460" s="5" t="s">
        <v>38</v>
      </c>
      <c r="M460" s="6">
        <v>9.6999999999999993</v>
      </c>
      <c r="N460">
        <f t="shared" si="14"/>
        <v>328</v>
      </c>
      <c r="O460" t="str">
        <f t="shared" si="15"/>
        <v>Medium</v>
      </c>
    </row>
    <row r="461" spans="1:15" x14ac:dyDescent="0.25">
      <c r="A461" s="5" t="s">
        <v>1225</v>
      </c>
      <c r="B461" s="8" t="s">
        <v>1226</v>
      </c>
      <c r="C461" s="8" t="s">
        <v>22</v>
      </c>
      <c r="D461" s="8" t="s">
        <v>118</v>
      </c>
      <c r="E461" s="8">
        <v>8.01</v>
      </c>
      <c r="F461" s="8">
        <v>68</v>
      </c>
      <c r="G461" s="8">
        <v>94.1</v>
      </c>
      <c r="H461" s="8">
        <v>0</v>
      </c>
      <c r="I461" s="8" t="s">
        <v>574</v>
      </c>
      <c r="J461" s="8">
        <v>2027</v>
      </c>
      <c r="K461" s="8" t="s">
        <v>18</v>
      </c>
      <c r="L461" s="8" t="s">
        <v>38</v>
      </c>
      <c r="M461" s="9">
        <v>13.6</v>
      </c>
      <c r="N461">
        <f t="shared" si="14"/>
        <v>204</v>
      </c>
      <c r="O461" t="str">
        <f t="shared" si="15"/>
        <v>High</v>
      </c>
    </row>
    <row r="462" spans="1:15" x14ac:dyDescent="0.25">
      <c r="A462" s="5" t="s">
        <v>1227</v>
      </c>
      <c r="B462" s="5" t="s">
        <v>1228</v>
      </c>
      <c r="C462" s="5" t="s">
        <v>41</v>
      </c>
      <c r="D462" s="5" t="s">
        <v>42</v>
      </c>
      <c r="E462" s="5">
        <v>9.5500000000000007</v>
      </c>
      <c r="F462" s="5">
        <v>86.8</v>
      </c>
      <c r="G462" s="5">
        <v>63.7</v>
      </c>
      <c r="H462" s="5">
        <v>1</v>
      </c>
      <c r="I462" s="5" t="s">
        <v>511</v>
      </c>
      <c r="J462" s="5">
        <v>2026</v>
      </c>
      <c r="K462" s="5" t="s">
        <v>18</v>
      </c>
      <c r="L462" s="5" t="s">
        <v>48</v>
      </c>
      <c r="M462" s="6">
        <v>12.1</v>
      </c>
      <c r="N462">
        <f t="shared" si="14"/>
        <v>28</v>
      </c>
      <c r="O462" t="str">
        <f t="shared" si="15"/>
        <v>Very High</v>
      </c>
    </row>
    <row r="463" spans="1:15" x14ac:dyDescent="0.25">
      <c r="A463" s="5" t="s">
        <v>1229</v>
      </c>
      <c r="B463" s="8" t="s">
        <v>121</v>
      </c>
      <c r="C463" s="8" t="s">
        <v>54</v>
      </c>
      <c r="D463" s="8" t="s">
        <v>46</v>
      </c>
      <c r="E463" s="8">
        <v>8.67</v>
      </c>
      <c r="F463" s="8">
        <v>91.8</v>
      </c>
      <c r="G463" s="8">
        <v>87.7</v>
      </c>
      <c r="H463" s="8">
        <v>1</v>
      </c>
      <c r="I463" s="8" t="s">
        <v>1230</v>
      </c>
      <c r="J463" s="8">
        <v>2026</v>
      </c>
      <c r="K463" s="8" t="s">
        <v>30</v>
      </c>
      <c r="L463" s="8" t="s">
        <v>79</v>
      </c>
      <c r="M463" s="9"/>
      <c r="N463">
        <f t="shared" si="14"/>
        <v>127</v>
      </c>
      <c r="O463" t="str">
        <f t="shared" si="15"/>
        <v>High</v>
      </c>
    </row>
    <row r="464" spans="1:15" x14ac:dyDescent="0.25">
      <c r="A464" s="5" t="s">
        <v>1231</v>
      </c>
      <c r="B464" s="5" t="s">
        <v>1232</v>
      </c>
      <c r="C464" s="5" t="s">
        <v>15</v>
      </c>
      <c r="D464" s="5" t="s">
        <v>16</v>
      </c>
      <c r="E464" s="5">
        <v>8.3699999999999992</v>
      </c>
      <c r="F464" s="5">
        <v>62.7</v>
      </c>
      <c r="G464" s="5">
        <v>70.400000000000006</v>
      </c>
      <c r="H464" s="5">
        <v>0</v>
      </c>
      <c r="I464" s="5" t="s">
        <v>131</v>
      </c>
      <c r="J464" s="5">
        <v>2026</v>
      </c>
      <c r="K464" s="5" t="s">
        <v>18</v>
      </c>
      <c r="L464" s="5" t="s">
        <v>48</v>
      </c>
      <c r="M464" s="6">
        <v>4.4000000000000004</v>
      </c>
      <c r="N464">
        <f t="shared" si="14"/>
        <v>161</v>
      </c>
      <c r="O464" t="str">
        <f t="shared" si="15"/>
        <v>High</v>
      </c>
    </row>
    <row r="465" spans="1:15" x14ac:dyDescent="0.25">
      <c r="A465" s="5" t="s">
        <v>1233</v>
      </c>
      <c r="B465" s="8" t="s">
        <v>1234</v>
      </c>
      <c r="C465" s="8" t="s">
        <v>22</v>
      </c>
      <c r="D465" s="8" t="s">
        <v>23</v>
      </c>
      <c r="E465" s="8">
        <v>8.5399999999999991</v>
      </c>
      <c r="F465" s="8">
        <v>88.3</v>
      </c>
      <c r="G465" s="8">
        <v>64.7</v>
      </c>
      <c r="H465" s="8">
        <v>0</v>
      </c>
      <c r="I465" s="8" t="s">
        <v>1235</v>
      </c>
      <c r="J465" s="8">
        <v>2026</v>
      </c>
      <c r="K465" s="8" t="s">
        <v>18</v>
      </c>
      <c r="L465" s="8" t="s">
        <v>70</v>
      </c>
      <c r="M465" s="9">
        <v>7.2</v>
      </c>
      <c r="N465">
        <f t="shared" si="14"/>
        <v>142</v>
      </c>
      <c r="O465" t="str">
        <f t="shared" si="15"/>
        <v>High</v>
      </c>
    </row>
    <row r="466" spans="1:15" x14ac:dyDescent="0.25">
      <c r="A466" s="5" t="s">
        <v>1236</v>
      </c>
      <c r="B466" s="5" t="s">
        <v>819</v>
      </c>
      <c r="C466" s="5" t="s">
        <v>22</v>
      </c>
      <c r="D466" s="5" t="s">
        <v>16</v>
      </c>
      <c r="E466" s="5">
        <v>9.59</v>
      </c>
      <c r="F466" s="5">
        <v>93.8</v>
      </c>
      <c r="G466" s="5">
        <v>79.8</v>
      </c>
      <c r="H466" s="5">
        <v>0</v>
      </c>
      <c r="I466" s="5" t="s">
        <v>697</v>
      </c>
      <c r="J466" s="5">
        <v>2026</v>
      </c>
      <c r="K466" s="5" t="s">
        <v>34</v>
      </c>
      <c r="L466" s="5" t="s">
        <v>79</v>
      </c>
      <c r="M466" s="6"/>
      <c r="N466">
        <f t="shared" si="14"/>
        <v>23</v>
      </c>
      <c r="O466" t="str">
        <f t="shared" si="15"/>
        <v>Very High</v>
      </c>
    </row>
    <row r="467" spans="1:15" x14ac:dyDescent="0.25">
      <c r="A467" s="5" t="s">
        <v>1237</v>
      </c>
      <c r="B467" s="8" t="s">
        <v>1238</v>
      </c>
      <c r="C467" s="8" t="s">
        <v>54</v>
      </c>
      <c r="D467" s="8" t="s">
        <v>169</v>
      </c>
      <c r="E467" s="8">
        <v>6.84</v>
      </c>
      <c r="F467" s="8">
        <v>58.7</v>
      </c>
      <c r="G467" s="8">
        <v>66.900000000000006</v>
      </c>
      <c r="H467" s="8">
        <v>2</v>
      </c>
      <c r="I467" s="8" t="s">
        <v>1239</v>
      </c>
      <c r="J467" s="8">
        <v>2026</v>
      </c>
      <c r="K467" s="8" t="s">
        <v>34</v>
      </c>
      <c r="L467" s="8" t="s">
        <v>79</v>
      </c>
      <c r="M467" s="9"/>
      <c r="N467">
        <f t="shared" si="14"/>
        <v>355</v>
      </c>
      <c r="O467" t="str">
        <f t="shared" si="15"/>
        <v>Low</v>
      </c>
    </row>
    <row r="468" spans="1:15" x14ac:dyDescent="0.25">
      <c r="A468" s="5" t="s">
        <v>1240</v>
      </c>
      <c r="B468" s="5" t="s">
        <v>1241</v>
      </c>
      <c r="C468" s="5" t="s">
        <v>15</v>
      </c>
      <c r="D468" s="5" t="s">
        <v>16</v>
      </c>
      <c r="E468" s="5">
        <v>8.65</v>
      </c>
      <c r="F468" s="5">
        <v>63</v>
      </c>
      <c r="G468" s="5">
        <v>89.6</v>
      </c>
      <c r="H468" s="5">
        <v>1</v>
      </c>
      <c r="I468" s="5" t="s">
        <v>1242</v>
      </c>
      <c r="J468" s="5">
        <v>2027</v>
      </c>
      <c r="K468" s="5" t="s">
        <v>34</v>
      </c>
      <c r="L468" s="5" t="s">
        <v>79</v>
      </c>
      <c r="M468" s="6"/>
      <c r="N468">
        <f t="shared" si="14"/>
        <v>130</v>
      </c>
      <c r="O468" t="str">
        <f t="shared" si="15"/>
        <v>High</v>
      </c>
    </row>
    <row r="469" spans="1:15" x14ac:dyDescent="0.25">
      <c r="A469" s="5" t="s">
        <v>1243</v>
      </c>
      <c r="B469" s="8" t="s">
        <v>1244</v>
      </c>
      <c r="C469" s="8" t="s">
        <v>54</v>
      </c>
      <c r="D469" s="8" t="s">
        <v>42</v>
      </c>
      <c r="E469" s="8">
        <v>7.43</v>
      </c>
      <c r="F469" s="8">
        <v>61.1</v>
      </c>
      <c r="G469" s="8">
        <v>63.3</v>
      </c>
      <c r="H469" s="8">
        <v>0</v>
      </c>
      <c r="I469" s="8" t="s">
        <v>1245</v>
      </c>
      <c r="J469" s="8">
        <v>2026</v>
      </c>
      <c r="K469" s="8" t="s">
        <v>30</v>
      </c>
      <c r="L469" s="8" t="s">
        <v>79</v>
      </c>
      <c r="M469" s="9"/>
      <c r="N469">
        <f t="shared" si="14"/>
        <v>287</v>
      </c>
      <c r="O469" t="str">
        <f t="shared" si="15"/>
        <v>Medium</v>
      </c>
    </row>
    <row r="470" spans="1:15" x14ac:dyDescent="0.25">
      <c r="A470" s="5" t="s">
        <v>1246</v>
      </c>
      <c r="B470" s="5" t="s">
        <v>894</v>
      </c>
      <c r="C470" s="5" t="s">
        <v>54</v>
      </c>
      <c r="D470" s="5" t="s">
        <v>169</v>
      </c>
      <c r="E470" s="5">
        <v>7.49</v>
      </c>
      <c r="F470" s="5">
        <v>80.099999999999994</v>
      </c>
      <c r="G470" s="5">
        <v>53.4</v>
      </c>
      <c r="H470" s="5">
        <v>0</v>
      </c>
      <c r="I470" s="5" t="s">
        <v>1247</v>
      </c>
      <c r="J470" s="5">
        <v>2026</v>
      </c>
      <c r="K470" s="5" t="s">
        <v>18</v>
      </c>
      <c r="L470" s="5" t="s">
        <v>59</v>
      </c>
      <c r="M470" s="6">
        <v>13.3</v>
      </c>
      <c r="N470">
        <f t="shared" si="14"/>
        <v>277</v>
      </c>
      <c r="O470" t="str">
        <f t="shared" si="15"/>
        <v>Medium</v>
      </c>
    </row>
    <row r="471" spans="1:15" x14ac:dyDescent="0.25">
      <c r="A471" s="5" t="s">
        <v>1248</v>
      </c>
      <c r="B471" s="8" t="s">
        <v>1249</v>
      </c>
      <c r="C471" s="8" t="s">
        <v>15</v>
      </c>
      <c r="D471" s="8" t="s">
        <v>16</v>
      </c>
      <c r="E471" s="8">
        <v>6.81</v>
      </c>
      <c r="F471" s="8">
        <v>81</v>
      </c>
      <c r="G471" s="8">
        <v>63.9</v>
      </c>
      <c r="H471" s="8">
        <v>0</v>
      </c>
      <c r="I471" s="8" t="s">
        <v>1250</v>
      </c>
      <c r="J471" s="8">
        <v>2026</v>
      </c>
      <c r="K471" s="8" t="s">
        <v>18</v>
      </c>
      <c r="L471" s="8" t="s">
        <v>259</v>
      </c>
      <c r="M471" s="9">
        <v>13.2</v>
      </c>
      <c r="N471">
        <f t="shared" si="14"/>
        <v>361</v>
      </c>
      <c r="O471" t="str">
        <f t="shared" si="15"/>
        <v>Low</v>
      </c>
    </row>
    <row r="472" spans="1:15" x14ac:dyDescent="0.25">
      <c r="A472" s="5" t="s">
        <v>1251</v>
      </c>
      <c r="B472" s="5" t="s">
        <v>1252</v>
      </c>
      <c r="C472" s="5" t="s">
        <v>22</v>
      </c>
      <c r="D472" s="5" t="s">
        <v>16</v>
      </c>
      <c r="E472" s="5">
        <v>7.07</v>
      </c>
      <c r="F472" s="5">
        <v>77.3</v>
      </c>
      <c r="G472" s="5">
        <v>56.5</v>
      </c>
      <c r="H472" s="5">
        <v>0</v>
      </c>
      <c r="I472" s="5" t="s">
        <v>1253</v>
      </c>
      <c r="J472" s="5">
        <v>2027</v>
      </c>
      <c r="K472" s="5" t="s">
        <v>30</v>
      </c>
      <c r="L472" s="5" t="s">
        <v>79</v>
      </c>
      <c r="M472" s="6"/>
      <c r="N472">
        <f t="shared" si="14"/>
        <v>328</v>
      </c>
      <c r="O472" t="str">
        <f t="shared" si="15"/>
        <v>Medium</v>
      </c>
    </row>
    <row r="473" spans="1:15" x14ac:dyDescent="0.25">
      <c r="A473" s="5" t="s">
        <v>1254</v>
      </c>
      <c r="B473" s="8" t="s">
        <v>1255</v>
      </c>
      <c r="C473" s="8" t="s">
        <v>41</v>
      </c>
      <c r="D473" s="8" t="s">
        <v>209</v>
      </c>
      <c r="E473" s="8">
        <v>8.25</v>
      </c>
      <c r="F473" s="8">
        <v>87</v>
      </c>
      <c r="G473" s="8">
        <v>62.1</v>
      </c>
      <c r="H473" s="8">
        <v>0</v>
      </c>
      <c r="I473" s="8" t="s">
        <v>1256</v>
      </c>
      <c r="J473" s="8">
        <v>2026</v>
      </c>
      <c r="K473" s="8" t="s">
        <v>30</v>
      </c>
      <c r="L473" s="8" t="s">
        <v>79</v>
      </c>
      <c r="M473" s="9"/>
      <c r="N473">
        <f t="shared" si="14"/>
        <v>176</v>
      </c>
      <c r="O473" t="str">
        <f t="shared" si="15"/>
        <v>High</v>
      </c>
    </row>
    <row r="474" spans="1:15" x14ac:dyDescent="0.25">
      <c r="A474" s="5" t="s">
        <v>1257</v>
      </c>
      <c r="B474" s="5" t="s">
        <v>333</v>
      </c>
      <c r="C474" s="5" t="s">
        <v>15</v>
      </c>
      <c r="D474" s="5" t="s">
        <v>16</v>
      </c>
      <c r="E474" s="5">
        <v>6.39</v>
      </c>
      <c r="F474" s="5">
        <v>64.7</v>
      </c>
      <c r="G474" s="5">
        <v>51.6</v>
      </c>
      <c r="H474" s="5">
        <v>0</v>
      </c>
      <c r="I474" s="5" t="s">
        <v>1258</v>
      </c>
      <c r="J474" s="5">
        <v>2026</v>
      </c>
      <c r="K474" s="5" t="s">
        <v>34</v>
      </c>
      <c r="L474" s="5" t="s">
        <v>79</v>
      </c>
      <c r="M474" s="6"/>
      <c r="N474">
        <f t="shared" si="14"/>
        <v>417</v>
      </c>
      <c r="O474" t="str">
        <f t="shared" si="15"/>
        <v>Low</v>
      </c>
    </row>
    <row r="475" spans="1:15" x14ac:dyDescent="0.25">
      <c r="A475" s="5" t="s">
        <v>1259</v>
      </c>
      <c r="B475" s="8" t="s">
        <v>1072</v>
      </c>
      <c r="C475" s="8" t="s">
        <v>15</v>
      </c>
      <c r="D475" s="8" t="s">
        <v>62</v>
      </c>
      <c r="E475" s="8">
        <v>9.27</v>
      </c>
      <c r="F475" s="8">
        <v>60.2</v>
      </c>
      <c r="G475" s="8">
        <v>54.3</v>
      </c>
      <c r="H475" s="8">
        <v>1</v>
      </c>
      <c r="I475" s="8" t="s">
        <v>1260</v>
      </c>
      <c r="J475" s="8">
        <v>2026</v>
      </c>
      <c r="K475" s="8" t="s">
        <v>34</v>
      </c>
      <c r="L475" s="8" t="s">
        <v>79</v>
      </c>
      <c r="M475" s="9"/>
      <c r="N475">
        <f t="shared" si="14"/>
        <v>51</v>
      </c>
      <c r="O475" t="str">
        <f t="shared" si="15"/>
        <v>Very High</v>
      </c>
    </row>
    <row r="476" spans="1:15" x14ac:dyDescent="0.25">
      <c r="A476" s="5" t="s">
        <v>1261</v>
      </c>
      <c r="B476" s="5" t="s">
        <v>1262</v>
      </c>
      <c r="C476" s="5" t="s">
        <v>22</v>
      </c>
      <c r="D476" s="5" t="s">
        <v>118</v>
      </c>
      <c r="E476" s="5">
        <v>9.48</v>
      </c>
      <c r="F476" s="5">
        <v>65.3</v>
      </c>
      <c r="G476" s="5">
        <v>72.900000000000006</v>
      </c>
      <c r="H476" s="5">
        <v>0</v>
      </c>
      <c r="I476" s="5" t="s">
        <v>1263</v>
      </c>
      <c r="J476" s="5">
        <v>2026</v>
      </c>
      <c r="K476" s="5" t="s">
        <v>34</v>
      </c>
      <c r="L476" s="5" t="s">
        <v>79</v>
      </c>
      <c r="M476" s="6"/>
      <c r="N476">
        <f t="shared" si="14"/>
        <v>33</v>
      </c>
      <c r="O476" t="str">
        <f t="shared" si="15"/>
        <v>Very High</v>
      </c>
    </row>
    <row r="477" spans="1:15" x14ac:dyDescent="0.25">
      <c r="A477" s="5" t="s">
        <v>1264</v>
      </c>
      <c r="B477" s="8" t="s">
        <v>1265</v>
      </c>
      <c r="C477" s="8" t="s">
        <v>22</v>
      </c>
      <c r="D477" s="8" t="s">
        <v>16</v>
      </c>
      <c r="E477" s="8">
        <v>6.12</v>
      </c>
      <c r="F477" s="8">
        <v>89.9</v>
      </c>
      <c r="G477" s="8">
        <v>80.3</v>
      </c>
      <c r="H477" s="8">
        <v>0</v>
      </c>
      <c r="I477" s="8" t="s">
        <v>1266</v>
      </c>
      <c r="J477" s="8">
        <v>2026</v>
      </c>
      <c r="K477" s="8" t="s">
        <v>34</v>
      </c>
      <c r="L477" s="8" t="s">
        <v>79</v>
      </c>
      <c r="M477" s="9"/>
      <c r="N477">
        <f t="shared" si="14"/>
        <v>439</v>
      </c>
      <c r="O477" t="str">
        <f t="shared" si="15"/>
        <v>Low</v>
      </c>
    </row>
    <row r="478" spans="1:15" x14ac:dyDescent="0.25">
      <c r="A478" s="5" t="s">
        <v>1267</v>
      </c>
      <c r="B478" s="5" t="s">
        <v>623</v>
      </c>
      <c r="C478" s="5" t="s">
        <v>22</v>
      </c>
      <c r="D478" s="5" t="s">
        <v>16</v>
      </c>
      <c r="E478" s="5">
        <v>9.25</v>
      </c>
      <c r="F478" s="5">
        <v>88.7</v>
      </c>
      <c r="G478" s="5">
        <v>63</v>
      </c>
      <c r="H478" s="5">
        <v>1</v>
      </c>
      <c r="I478" s="5" t="s">
        <v>1144</v>
      </c>
      <c r="J478" s="5">
        <v>2025</v>
      </c>
      <c r="K478" s="5" t="s">
        <v>18</v>
      </c>
      <c r="L478" s="5" t="s">
        <v>19</v>
      </c>
      <c r="M478" s="6">
        <v>13.6</v>
      </c>
      <c r="N478">
        <f t="shared" si="14"/>
        <v>53</v>
      </c>
      <c r="O478" t="str">
        <f t="shared" si="15"/>
        <v>Very High</v>
      </c>
    </row>
    <row r="479" spans="1:15" x14ac:dyDescent="0.25">
      <c r="A479" s="5" t="s">
        <v>1268</v>
      </c>
      <c r="B479" s="8" t="s">
        <v>1269</v>
      </c>
      <c r="C479" s="8" t="s">
        <v>15</v>
      </c>
      <c r="D479" s="8" t="s">
        <v>16</v>
      </c>
      <c r="E479" s="8">
        <v>9.2100000000000009</v>
      </c>
      <c r="F479" s="8">
        <v>61.8</v>
      </c>
      <c r="G479" s="8">
        <v>85.9</v>
      </c>
      <c r="H479" s="8">
        <v>0</v>
      </c>
      <c r="I479" s="8" t="s">
        <v>1270</v>
      </c>
      <c r="J479" s="8">
        <v>2026</v>
      </c>
      <c r="K479" s="8" t="s">
        <v>34</v>
      </c>
      <c r="L479" s="8" t="s">
        <v>79</v>
      </c>
      <c r="M479" s="9"/>
      <c r="N479">
        <f t="shared" si="14"/>
        <v>61</v>
      </c>
      <c r="O479" t="str">
        <f t="shared" si="15"/>
        <v>Very High</v>
      </c>
    </row>
    <row r="480" spans="1:15" x14ac:dyDescent="0.25">
      <c r="A480" s="5" t="s">
        <v>1271</v>
      </c>
      <c r="B480" s="5" t="s">
        <v>242</v>
      </c>
      <c r="C480" s="5" t="s">
        <v>22</v>
      </c>
      <c r="D480" s="5" t="s">
        <v>118</v>
      </c>
      <c r="E480" s="5">
        <v>8.4600000000000009</v>
      </c>
      <c r="F480" s="5">
        <v>89.9</v>
      </c>
      <c r="G480" s="5">
        <v>73.599999999999994</v>
      </c>
      <c r="H480" s="5">
        <v>0</v>
      </c>
      <c r="I480" s="5" t="s">
        <v>1272</v>
      </c>
      <c r="J480" s="5">
        <v>2026</v>
      </c>
      <c r="K480" s="5" t="s">
        <v>34</v>
      </c>
      <c r="L480" s="5" t="s">
        <v>79</v>
      </c>
      <c r="M480" s="6"/>
      <c r="N480">
        <f t="shared" si="14"/>
        <v>148</v>
      </c>
      <c r="O480" t="str">
        <f t="shared" si="15"/>
        <v>High</v>
      </c>
    </row>
    <row r="481" spans="1:15" x14ac:dyDescent="0.25">
      <c r="A481" s="5" t="s">
        <v>1273</v>
      </c>
      <c r="B481" s="8" t="s">
        <v>1274</v>
      </c>
      <c r="C481" s="8" t="s">
        <v>15</v>
      </c>
      <c r="D481" s="8" t="s">
        <v>16</v>
      </c>
      <c r="E481" s="8">
        <v>7.85</v>
      </c>
      <c r="F481" s="8">
        <v>95.9</v>
      </c>
      <c r="G481" s="8">
        <v>81.099999999999994</v>
      </c>
      <c r="H481" s="8">
        <v>0</v>
      </c>
      <c r="I481" s="8" t="s">
        <v>1275</v>
      </c>
      <c r="J481" s="8">
        <v>2026</v>
      </c>
      <c r="K481" s="8" t="s">
        <v>18</v>
      </c>
      <c r="L481" s="8" t="s">
        <v>38</v>
      </c>
      <c r="M481" s="9">
        <v>11.9</v>
      </c>
      <c r="N481">
        <f t="shared" si="14"/>
        <v>220</v>
      </c>
      <c r="O481" t="str">
        <f t="shared" si="15"/>
        <v>Medium</v>
      </c>
    </row>
  </sheetData>
  <conditionalFormatting sqref="A487:A1048576 A1:A481">
    <cfRule type="duplicateValues" dxfId="7" priority="10"/>
  </conditionalFormatting>
  <conditionalFormatting sqref="N2:N481">
    <cfRule type="colorScale" priority="9">
      <colorScale>
        <cfvo type="min"/>
        <cfvo type="percentile" val="50"/>
        <cfvo type="max"/>
        <color rgb="FFF8696B"/>
        <color rgb="FFFFEB84"/>
        <color rgb="FF63BE7B"/>
      </colorScale>
    </cfRule>
  </conditionalFormatting>
  <conditionalFormatting sqref="O2:O481">
    <cfRule type="containsText" dxfId="6" priority="2" operator="containsText" text="HIgh">
      <formula>NOT(ISERROR(SEARCH("HIgh",O2)))</formula>
    </cfRule>
    <cfRule type="containsText" dxfId="5" priority="3" operator="containsText" text="Low">
      <formula>NOT(ISERROR(SEARCH("Low",O2)))</formula>
    </cfRule>
    <cfRule type="containsText" dxfId="4" priority="4" operator="containsText" text="Medium">
      <formula>NOT(ISERROR(SEARCH("Medium",O2)))</formula>
    </cfRule>
    <cfRule type="containsText" dxfId="3" priority="6" operator="containsText" text="High">
      <formula>NOT(ISERROR(SEARCH("High",O2)))</formula>
    </cfRule>
    <cfRule type="containsText" dxfId="2" priority="7" operator="containsText" text="High">
      <formula>NOT(ISERROR(SEARCH("High",O2)))</formula>
    </cfRule>
    <cfRule type="containsText" dxfId="1" priority="8" operator="containsText" text="Very High">
      <formula>NOT(ISERROR(SEARCH("Very High",O2)))</formula>
    </cfRule>
  </conditionalFormatting>
  <conditionalFormatting sqref="R14">
    <cfRule type="containsText" dxfId="0" priority="5" operator="containsText" text="Medium">
      <formula>NOT(ISERROR(SEARCH("Medium",R14)))</formula>
    </cfRule>
  </conditionalFormatting>
  <conditionalFormatting sqref="E1:E1048576">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topLeftCell="A17" workbookViewId="0">
      <selection activeCell="L21" sqref="L21"/>
    </sheetView>
  </sheetViews>
  <sheetFormatPr defaultRowHeight="15" x14ac:dyDescent="0.25"/>
  <cols>
    <col min="1" max="1" width="25.140625" customWidth="1"/>
    <col min="2" max="2" width="19.140625" bestFit="1" customWidth="1"/>
  </cols>
  <sheetData>
    <row r="1" spans="1:18" ht="18.75" x14ac:dyDescent="0.3">
      <c r="A1" s="28" t="s">
        <v>1319</v>
      </c>
      <c r="B1" s="28"/>
      <c r="C1" s="28"/>
      <c r="D1" s="28"/>
      <c r="E1" s="28"/>
      <c r="F1" s="28"/>
      <c r="G1" s="28"/>
      <c r="H1" s="28"/>
      <c r="I1" s="28"/>
      <c r="J1" s="28"/>
      <c r="K1" s="28"/>
      <c r="L1" s="28"/>
      <c r="M1" s="28"/>
      <c r="N1" s="28"/>
      <c r="O1" s="28"/>
      <c r="P1" s="28"/>
      <c r="Q1" s="28"/>
      <c r="R1" s="28"/>
    </row>
    <row r="3" spans="1:18" x14ac:dyDescent="0.25">
      <c r="A3" s="19" t="s">
        <v>1317</v>
      </c>
      <c r="B3" t="s">
        <v>1316</v>
      </c>
    </row>
    <row r="4" spans="1:18" x14ac:dyDescent="0.25">
      <c r="A4" s="20" t="s">
        <v>30</v>
      </c>
      <c r="B4" s="21">
        <v>31</v>
      </c>
    </row>
    <row r="5" spans="1:18" x14ac:dyDescent="0.25">
      <c r="A5" s="20" t="s">
        <v>34</v>
      </c>
      <c r="B5" s="21">
        <v>54</v>
      </c>
    </row>
    <row r="6" spans="1:18" x14ac:dyDescent="0.25">
      <c r="A6" s="20" t="s">
        <v>18</v>
      </c>
      <c r="B6" s="21">
        <v>53</v>
      </c>
    </row>
    <row r="7" spans="1:18" x14ac:dyDescent="0.25">
      <c r="A7" s="20" t="s">
        <v>1315</v>
      </c>
      <c r="B7" s="21">
        <v>138</v>
      </c>
    </row>
    <row r="18" spans="1:10" ht="18.75" x14ac:dyDescent="0.3">
      <c r="A18" s="28" t="s">
        <v>1320</v>
      </c>
      <c r="B18" s="28"/>
      <c r="C18" s="28"/>
      <c r="D18" s="28"/>
      <c r="E18" s="28"/>
      <c r="F18" s="28"/>
      <c r="G18" s="28"/>
      <c r="H18" s="28"/>
      <c r="I18" s="28"/>
      <c r="J18" s="28"/>
    </row>
    <row r="20" spans="1:10" x14ac:dyDescent="0.25">
      <c r="A20" s="19" t="s">
        <v>1318</v>
      </c>
      <c r="B20" t="s">
        <v>1316</v>
      </c>
    </row>
    <row r="21" spans="1:10" x14ac:dyDescent="0.25">
      <c r="A21" s="20"/>
      <c r="B21" s="21">
        <v>289</v>
      </c>
    </row>
    <row r="22" spans="1:10" x14ac:dyDescent="0.25">
      <c r="A22" s="20" t="s">
        <v>19</v>
      </c>
      <c r="B22" s="21">
        <v>11</v>
      </c>
    </row>
    <row r="23" spans="1:10" x14ac:dyDescent="0.25">
      <c r="A23" s="20" t="s">
        <v>157</v>
      </c>
      <c r="B23" s="21">
        <v>10</v>
      </c>
    </row>
    <row r="24" spans="1:10" x14ac:dyDescent="0.25">
      <c r="A24" s="20" t="s">
        <v>138</v>
      </c>
      <c r="B24" s="21">
        <v>18</v>
      </c>
    </row>
    <row r="25" spans="1:10" x14ac:dyDescent="0.25">
      <c r="A25" s="20" t="s">
        <v>188</v>
      </c>
      <c r="B25" s="21">
        <v>14</v>
      </c>
    </row>
    <row r="26" spans="1:10" x14ac:dyDescent="0.25">
      <c r="A26" s="20" t="s">
        <v>70</v>
      </c>
      <c r="B26" s="21">
        <v>13</v>
      </c>
    </row>
    <row r="27" spans="1:10" x14ac:dyDescent="0.25">
      <c r="A27" s="20" t="s">
        <v>59</v>
      </c>
      <c r="B27" s="21">
        <v>14</v>
      </c>
    </row>
    <row r="28" spans="1:10" x14ac:dyDescent="0.25">
      <c r="A28" s="20" t="s">
        <v>115</v>
      </c>
      <c r="B28" s="21">
        <v>8</v>
      </c>
    </row>
    <row r="29" spans="1:10" x14ac:dyDescent="0.25">
      <c r="A29" s="20" t="s">
        <v>518</v>
      </c>
      <c r="B29" s="21">
        <v>8</v>
      </c>
    </row>
    <row r="30" spans="1:10" x14ac:dyDescent="0.25">
      <c r="A30" s="20" t="s">
        <v>38</v>
      </c>
      <c r="B30" s="21">
        <v>21</v>
      </c>
    </row>
    <row r="31" spans="1:10" x14ac:dyDescent="0.25">
      <c r="A31" s="20" t="s">
        <v>95</v>
      </c>
      <c r="B31" s="21">
        <v>10</v>
      </c>
    </row>
    <row r="32" spans="1:10" x14ac:dyDescent="0.25">
      <c r="A32" s="20" t="s">
        <v>25</v>
      </c>
      <c r="B32" s="21">
        <v>15</v>
      </c>
    </row>
    <row r="33" spans="1:2" x14ac:dyDescent="0.25">
      <c r="A33" s="20" t="s">
        <v>48</v>
      </c>
      <c r="B33" s="21">
        <v>11</v>
      </c>
    </row>
    <row r="34" spans="1:2" x14ac:dyDescent="0.25">
      <c r="A34" s="20" t="s">
        <v>259</v>
      </c>
      <c r="B34" s="21">
        <v>10</v>
      </c>
    </row>
    <row r="35" spans="1:2" x14ac:dyDescent="0.25">
      <c r="A35" s="20" t="s">
        <v>308</v>
      </c>
      <c r="B35" s="21">
        <v>13</v>
      </c>
    </row>
    <row r="36" spans="1:2" x14ac:dyDescent="0.25">
      <c r="A36" s="20" t="s">
        <v>108</v>
      </c>
      <c r="B36" s="21">
        <v>15</v>
      </c>
    </row>
    <row r="37" spans="1:2" x14ac:dyDescent="0.25">
      <c r="A37" s="20" t="s">
        <v>1315</v>
      </c>
      <c r="B37" s="21">
        <v>480</v>
      </c>
    </row>
  </sheetData>
  <mergeCells count="2">
    <mergeCell ref="A1:R1"/>
    <mergeCell ref="A18:J18"/>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election activeCell="C13" sqref="C13"/>
    </sheetView>
  </sheetViews>
  <sheetFormatPr defaultRowHeight="15" x14ac:dyDescent="0.25"/>
  <cols>
    <col min="1" max="1" width="13.7109375" customWidth="1"/>
    <col min="2" max="2" width="12.85546875" bestFit="1" customWidth="1"/>
    <col min="3" max="3" width="15.85546875" bestFit="1" customWidth="1"/>
    <col min="4" max="4" width="16.28515625" bestFit="1" customWidth="1"/>
    <col min="5" max="5" width="14.7109375" bestFit="1" customWidth="1"/>
    <col min="6" max="6" width="15" bestFit="1" customWidth="1"/>
  </cols>
  <sheetData>
    <row r="1" spans="1:6" x14ac:dyDescent="0.25">
      <c r="A1" s="1" t="s">
        <v>1291</v>
      </c>
      <c r="B1" s="2" t="s">
        <v>1276</v>
      </c>
      <c r="C1" s="2" t="s">
        <v>1277</v>
      </c>
      <c r="D1" s="2" t="s">
        <v>1278</v>
      </c>
      <c r="E1" s="2" t="s">
        <v>12</v>
      </c>
      <c r="F1" s="3" t="s">
        <v>1279</v>
      </c>
    </row>
    <row r="2" spans="1:6" x14ac:dyDescent="0.25">
      <c r="A2" s="4" t="s">
        <v>115</v>
      </c>
      <c r="B2" s="5">
        <v>6.5</v>
      </c>
      <c r="C2" s="5">
        <v>0</v>
      </c>
      <c r="D2" s="5" t="s">
        <v>1280</v>
      </c>
      <c r="E2" s="5">
        <v>4.5</v>
      </c>
      <c r="F2" s="6" t="s">
        <v>1281</v>
      </c>
    </row>
    <row r="3" spans="1:6" x14ac:dyDescent="0.25">
      <c r="A3" s="7" t="s">
        <v>48</v>
      </c>
      <c r="B3" s="8">
        <v>6</v>
      </c>
      <c r="C3" s="8">
        <v>1</v>
      </c>
      <c r="D3" s="8" t="s">
        <v>1282</v>
      </c>
      <c r="E3" s="8">
        <v>4.2</v>
      </c>
      <c r="F3" s="9" t="s">
        <v>1281</v>
      </c>
    </row>
    <row r="4" spans="1:6" x14ac:dyDescent="0.25">
      <c r="A4" s="4" t="s">
        <v>308</v>
      </c>
      <c r="B4" s="5">
        <v>6.5</v>
      </c>
      <c r="C4" s="5">
        <v>0</v>
      </c>
      <c r="D4" s="5" t="s">
        <v>1283</v>
      </c>
      <c r="E4" s="5">
        <v>4.8</v>
      </c>
      <c r="F4" s="6" t="s">
        <v>1281</v>
      </c>
    </row>
    <row r="5" spans="1:6" x14ac:dyDescent="0.25">
      <c r="A5" s="7" t="s">
        <v>19</v>
      </c>
      <c r="B5" s="8">
        <v>7</v>
      </c>
      <c r="C5" s="8">
        <v>0</v>
      </c>
      <c r="D5" s="8" t="s">
        <v>1280</v>
      </c>
      <c r="E5" s="8">
        <v>5.5</v>
      </c>
      <c r="F5" s="9" t="s">
        <v>1281</v>
      </c>
    </row>
    <row r="6" spans="1:6" x14ac:dyDescent="0.25">
      <c r="A6" s="4" t="s">
        <v>188</v>
      </c>
      <c r="B6" s="5">
        <v>6.8</v>
      </c>
      <c r="C6" s="5">
        <v>0</v>
      </c>
      <c r="D6" s="5" t="s">
        <v>1282</v>
      </c>
      <c r="E6" s="5">
        <v>5.2</v>
      </c>
      <c r="F6" s="6" t="s">
        <v>1281</v>
      </c>
    </row>
    <row r="7" spans="1:6" x14ac:dyDescent="0.25">
      <c r="A7" s="7" t="s">
        <v>70</v>
      </c>
      <c r="B7" s="8">
        <v>7.5</v>
      </c>
      <c r="C7" s="8">
        <v>0</v>
      </c>
      <c r="D7" s="8" t="s">
        <v>1284</v>
      </c>
      <c r="E7" s="8">
        <v>7.2</v>
      </c>
      <c r="F7" s="9" t="s">
        <v>1281</v>
      </c>
    </row>
    <row r="8" spans="1:6" x14ac:dyDescent="0.25">
      <c r="A8" s="4" t="s">
        <v>138</v>
      </c>
      <c r="B8" s="5">
        <v>6.5</v>
      </c>
      <c r="C8" s="5">
        <v>1</v>
      </c>
      <c r="D8" s="5" t="s">
        <v>1280</v>
      </c>
      <c r="E8" s="5">
        <v>4.5999999999999996</v>
      </c>
      <c r="F8" s="6" t="s">
        <v>1281</v>
      </c>
    </row>
    <row r="9" spans="1:6" x14ac:dyDescent="0.25">
      <c r="A9" s="7" t="s">
        <v>59</v>
      </c>
      <c r="B9" s="8">
        <v>7.2</v>
      </c>
      <c r="C9" s="8">
        <v>0</v>
      </c>
      <c r="D9" s="8" t="s">
        <v>1283</v>
      </c>
      <c r="E9" s="8">
        <v>6.5</v>
      </c>
      <c r="F9" s="9" t="s">
        <v>1281</v>
      </c>
    </row>
    <row r="10" spans="1:6" x14ac:dyDescent="0.25">
      <c r="A10" s="4" t="s">
        <v>95</v>
      </c>
      <c r="B10" s="5">
        <v>7.5</v>
      </c>
      <c r="C10" s="5">
        <v>0</v>
      </c>
      <c r="D10" s="5" t="s">
        <v>1280</v>
      </c>
      <c r="E10" s="5">
        <v>8</v>
      </c>
      <c r="F10" s="6" t="s">
        <v>1281</v>
      </c>
    </row>
    <row r="11" spans="1:6" x14ac:dyDescent="0.25">
      <c r="A11" s="10" t="s">
        <v>108</v>
      </c>
      <c r="B11" s="11">
        <v>7</v>
      </c>
      <c r="C11" s="11">
        <v>0</v>
      </c>
      <c r="D11" s="11" t="s">
        <v>1285</v>
      </c>
      <c r="E11" s="11">
        <v>6</v>
      </c>
      <c r="F11" s="12" t="s">
        <v>1281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7"/>
  <sheetViews>
    <sheetView workbookViewId="0">
      <selection activeCell="H15" sqref="H15"/>
    </sheetView>
  </sheetViews>
  <sheetFormatPr defaultRowHeight="15" x14ac:dyDescent="0.25"/>
  <cols>
    <col min="1" max="1" width="33.85546875" bestFit="1" customWidth="1"/>
    <col min="2" max="2" width="14.42578125" bestFit="1" customWidth="1"/>
    <col min="3" max="3" width="11.140625" bestFit="1" customWidth="1"/>
    <col min="4" max="4" width="24.140625" customWidth="1"/>
    <col min="5" max="5" width="43.28515625" customWidth="1"/>
    <col min="6" max="6" width="11.140625" bestFit="1" customWidth="1"/>
    <col min="7" max="7" width="27.7109375" customWidth="1"/>
  </cols>
  <sheetData>
    <row r="1" spans="1:7" x14ac:dyDescent="0.25">
      <c r="A1" s="4" t="s">
        <v>1286</v>
      </c>
      <c r="B1" s="5"/>
      <c r="C1" s="5"/>
      <c r="D1" s="5"/>
      <c r="E1" s="5"/>
      <c r="F1" s="5"/>
      <c r="G1" s="6"/>
    </row>
    <row r="2" spans="1:7" x14ac:dyDescent="0.25">
      <c r="A2" s="4"/>
      <c r="B2" s="5"/>
      <c r="C2" s="5"/>
      <c r="D2" s="5" t="s">
        <v>1292</v>
      </c>
      <c r="E2" s="5"/>
      <c r="F2" s="5"/>
      <c r="G2" s="6"/>
    </row>
    <row r="3" spans="1:7" x14ac:dyDescent="0.25">
      <c r="A3" s="7" t="s">
        <v>1287</v>
      </c>
      <c r="B3" s="8" t="s">
        <v>70</v>
      </c>
      <c r="C3" s="8"/>
      <c r="D3" s="8" t="s">
        <v>1293</v>
      </c>
      <c r="E3" s="8">
        <f>VLOOKUP(B3,Company_Requirements!$A$2:$F$11,2,FALSE)</f>
        <v>7.5</v>
      </c>
      <c r="F3" s="8"/>
      <c r="G3" s="9"/>
    </row>
    <row r="4" spans="1:7" x14ac:dyDescent="0.25">
      <c r="A4" s="4"/>
      <c r="B4" s="5"/>
      <c r="C4" s="5"/>
      <c r="D4" s="5" t="s">
        <v>1294</v>
      </c>
      <c r="E4" s="5">
        <f>VLOOKUP(B3,Company_Requirements!$A$2:$F$11,3,FALSE)</f>
        <v>0</v>
      </c>
      <c r="F4" s="5"/>
      <c r="G4" s="6"/>
    </row>
    <row r="5" spans="1:7" x14ac:dyDescent="0.25">
      <c r="A5" s="7"/>
      <c r="B5" s="8"/>
      <c r="C5" s="8"/>
      <c r="D5" s="8" t="s">
        <v>1295</v>
      </c>
      <c r="E5" s="8" t="str">
        <f>VLOOKUP(B3,Company_Requirements!$A$2:$F$11,4,FALSE)</f>
        <v>Power BI</v>
      </c>
      <c r="F5" s="8"/>
      <c r="G5" s="9"/>
    </row>
    <row r="6" spans="1:7" x14ac:dyDescent="0.25">
      <c r="A6" s="4"/>
      <c r="B6" s="5"/>
      <c r="C6" s="5"/>
      <c r="D6" s="5" t="s">
        <v>1296</v>
      </c>
      <c r="E6" s="5">
        <f>VLOOKUP(B3,Company_Requirements!$A$2:$F$11,5,FALSE)</f>
        <v>7.2</v>
      </c>
      <c r="F6" s="5"/>
      <c r="G6" s="6"/>
    </row>
    <row r="7" spans="1:7" x14ac:dyDescent="0.25">
      <c r="A7" s="10" t="s">
        <v>0</v>
      </c>
      <c r="B7" s="11" t="s">
        <v>1</v>
      </c>
      <c r="C7" s="11" t="s">
        <v>4</v>
      </c>
      <c r="D7" s="11" t="s">
        <v>1288</v>
      </c>
      <c r="E7" s="11" t="s">
        <v>8</v>
      </c>
      <c r="F7" s="11" t="s">
        <v>1289</v>
      </c>
      <c r="G7" s="12" t="s">
        <v>1290</v>
      </c>
    </row>
    <row r="8" spans="1:7" x14ac:dyDescent="0.25">
      <c r="A8" t="str">
        <f>Student_Master!A2</f>
        <v>STU0001</v>
      </c>
      <c r="B8" t="str">
        <f>Student_Master!B2</f>
        <v>Aarav Mishra</v>
      </c>
      <c r="C8">
        <f>Student_Master!E2</f>
        <v>8.77</v>
      </c>
      <c r="D8">
        <f>Student_Master!H2</f>
        <v>0</v>
      </c>
      <c r="E8" t="str">
        <f>Student_Master!I2</f>
        <v>Git, JavaScript</v>
      </c>
      <c r="F8" t="str">
        <f>IF(AND(C8&gt;=$E$3,D8&lt;=$E$4,ISNUMBER(SEARCH($E$5,E8))),"Eligible","Not Eligible")</f>
        <v>Not Eligible</v>
      </c>
      <c r="G8" t="str">
        <f>IF(C8&lt;$E$3,"CGPA below requirement",IF(D8&gt;$E$4,"Too many backlogs",IF(NOT(ISNUMBER(SEARCH($E$5,E8))),"Required skill missing","Eligible")))</f>
        <v>Required skill missing</v>
      </c>
    </row>
    <row r="9" spans="1:7" x14ac:dyDescent="0.25">
      <c r="A9" t="str">
        <f>Student_Master!A3</f>
        <v>STU0002</v>
      </c>
      <c r="B9" t="str">
        <f>Student_Master!B3</f>
        <v>Akash Desai</v>
      </c>
      <c r="C9">
        <f>Student_Master!E3</f>
        <v>8.4</v>
      </c>
      <c r="D9">
        <f>Student_Master!H3</f>
        <v>0</v>
      </c>
      <c r="E9" t="str">
        <f>Student_Master!I3</f>
        <v>Python, JavaScript</v>
      </c>
      <c r="F9" t="str">
        <f t="shared" ref="F9:F72" si="0">IF(AND(C9&gt;=$E$3,D9&lt;=$E$4,ISNUMBER(SEARCH($E$5,E9))),"Eligible","Not Eligible")</f>
        <v>Not Eligible</v>
      </c>
      <c r="G9" t="str">
        <f t="shared" ref="G9:G72" si="1">IF(C9&lt;$E$3,"CGPA below requirement",IF(D9&gt;$E$4,"Too many backlogs",IF(NOT(ISNUMBER(SEARCH($E$5,E9))),"Required skill missing","Eligible")))</f>
        <v>Required skill missing</v>
      </c>
    </row>
    <row r="10" spans="1:7" x14ac:dyDescent="0.25">
      <c r="A10" t="str">
        <f>Student_Master!A4</f>
        <v>STU0003</v>
      </c>
      <c r="B10" t="str">
        <f>Student_Master!B4</f>
        <v>Neha Singh</v>
      </c>
      <c r="C10">
        <f>Student_Master!E4</f>
        <v>9.19</v>
      </c>
      <c r="D10">
        <f>Student_Master!H4</f>
        <v>0</v>
      </c>
      <c r="E10" t="str">
        <f>Student_Master!I4</f>
        <v>JavaScript, SQL</v>
      </c>
      <c r="F10" t="str">
        <f t="shared" si="0"/>
        <v>Not Eligible</v>
      </c>
      <c r="G10" t="str">
        <f t="shared" si="1"/>
        <v>Required skill missing</v>
      </c>
    </row>
    <row r="11" spans="1:7" x14ac:dyDescent="0.25">
      <c r="A11" t="str">
        <f>Student_Master!A5</f>
        <v>STU0004</v>
      </c>
      <c r="B11" t="str">
        <f>Student_Master!B5</f>
        <v>Kavya Singh</v>
      </c>
      <c r="C11">
        <f>Student_Master!E5</f>
        <v>6.08</v>
      </c>
      <c r="D11">
        <f>Student_Master!H5</f>
        <v>3</v>
      </c>
      <c r="E11" t="str">
        <f>Student_Master!I5</f>
        <v>SQL, JavaScript, Power BI</v>
      </c>
      <c r="F11" t="str">
        <f t="shared" si="0"/>
        <v>Not Eligible</v>
      </c>
      <c r="G11" t="str">
        <f t="shared" si="1"/>
        <v>CGPA below requirement</v>
      </c>
    </row>
    <row r="12" spans="1:7" x14ac:dyDescent="0.25">
      <c r="A12" t="str">
        <f>Student_Master!A6</f>
        <v>STU0005</v>
      </c>
      <c r="B12" t="str">
        <f>Student_Master!B6</f>
        <v>Rahul Gupta</v>
      </c>
      <c r="C12">
        <f>Student_Master!E6</f>
        <v>6.87</v>
      </c>
      <c r="D12">
        <f>Student_Master!H6</f>
        <v>0</v>
      </c>
      <c r="E12" t="str">
        <f>Student_Master!I6</f>
        <v>Data Analysis, Java, Python</v>
      </c>
      <c r="F12" t="str">
        <f t="shared" si="0"/>
        <v>Not Eligible</v>
      </c>
      <c r="G12" t="str">
        <f t="shared" si="1"/>
        <v>CGPA below requirement</v>
      </c>
    </row>
    <row r="13" spans="1:7" x14ac:dyDescent="0.25">
      <c r="A13" t="str">
        <f>Student_Master!A7</f>
        <v>STU0006</v>
      </c>
      <c r="B13" t="str">
        <f>Student_Master!B7</f>
        <v>Nikhil Shetty</v>
      </c>
      <c r="C13">
        <f>Student_Master!E7</f>
        <v>6.72</v>
      </c>
      <c r="D13">
        <f>Student_Master!H7</f>
        <v>0</v>
      </c>
      <c r="E13" t="str">
        <f>Student_Master!I7</f>
        <v>Git, HTML/CSS, Java</v>
      </c>
      <c r="F13" t="str">
        <f t="shared" si="0"/>
        <v>Not Eligible</v>
      </c>
      <c r="G13" t="str">
        <f t="shared" si="1"/>
        <v>CGPA below requirement</v>
      </c>
    </row>
    <row r="14" spans="1:7" x14ac:dyDescent="0.25">
      <c r="A14" t="str">
        <f>Student_Master!A8</f>
        <v>STU0007</v>
      </c>
      <c r="B14" t="str">
        <f>Student_Master!B8</f>
        <v>Bhavana Bhat</v>
      </c>
      <c r="C14">
        <f>Student_Master!E8</f>
        <v>6.79</v>
      </c>
      <c r="D14">
        <f>Student_Master!H8</f>
        <v>0</v>
      </c>
      <c r="E14" t="str">
        <f>Student_Master!I8</f>
        <v>HTML/CSS, Java, Python, Power BI, Data Analysis</v>
      </c>
      <c r="F14" t="str">
        <f t="shared" si="0"/>
        <v>Not Eligible</v>
      </c>
      <c r="G14" t="str">
        <f t="shared" si="1"/>
        <v>CGPA below requirement</v>
      </c>
    </row>
    <row r="15" spans="1:7" x14ac:dyDescent="0.25">
      <c r="A15" t="str">
        <f>Student_Master!A9</f>
        <v>STU0008</v>
      </c>
      <c r="B15" t="str">
        <f>Student_Master!B9</f>
        <v>Ananya Hegde</v>
      </c>
      <c r="C15">
        <f>Student_Master!E9</f>
        <v>7.33</v>
      </c>
      <c r="D15">
        <f>Student_Master!H9</f>
        <v>2</v>
      </c>
      <c r="E15" t="str">
        <f>Student_Master!I9</f>
        <v>SQL, Data Analysis</v>
      </c>
      <c r="F15" t="str">
        <f t="shared" si="0"/>
        <v>Not Eligible</v>
      </c>
      <c r="G15" t="str">
        <f t="shared" si="1"/>
        <v>CGPA below requirement</v>
      </c>
    </row>
    <row r="16" spans="1:7" x14ac:dyDescent="0.25">
      <c r="A16" t="str">
        <f>Student_Master!A10</f>
        <v>STU0009</v>
      </c>
      <c r="B16" t="str">
        <f>Student_Master!B10</f>
        <v>Arjun Singh</v>
      </c>
      <c r="C16">
        <f>Student_Master!E10</f>
        <v>7.61</v>
      </c>
      <c r="D16">
        <f>Student_Master!H10</f>
        <v>0</v>
      </c>
      <c r="E16" t="str">
        <f>Student_Master!I10</f>
        <v>Data Analysis, SQL, Power BI</v>
      </c>
      <c r="F16" t="str">
        <f t="shared" si="0"/>
        <v>Eligible</v>
      </c>
      <c r="G16" t="str">
        <f t="shared" si="1"/>
        <v>Eligible</v>
      </c>
    </row>
    <row r="17" spans="1:7" x14ac:dyDescent="0.25">
      <c r="A17" t="str">
        <f>Student_Master!A11</f>
        <v>STU0010</v>
      </c>
      <c r="B17" t="str">
        <f>Student_Master!B11</f>
        <v>Akash Gowda</v>
      </c>
      <c r="C17">
        <f>Student_Master!E11</f>
        <v>9.61</v>
      </c>
      <c r="D17">
        <f>Student_Master!H11</f>
        <v>0</v>
      </c>
      <c r="E17" t="str">
        <f>Student_Master!I11</f>
        <v>Excel, SQL, HTML/CSS, JavaScript, Python</v>
      </c>
      <c r="F17" t="str">
        <f t="shared" si="0"/>
        <v>Not Eligible</v>
      </c>
      <c r="G17" t="str">
        <f t="shared" si="1"/>
        <v>Required skill missing</v>
      </c>
    </row>
    <row r="18" spans="1:7" x14ac:dyDescent="0.25">
      <c r="A18" t="str">
        <f>Student_Master!A12</f>
        <v>STU0011</v>
      </c>
      <c r="B18" t="str">
        <f>Student_Master!B12</f>
        <v>Ishita Desai</v>
      </c>
      <c r="C18">
        <f>Student_Master!E12</f>
        <v>8.86</v>
      </c>
      <c r="D18">
        <f>Student_Master!H12</f>
        <v>0</v>
      </c>
      <c r="E18" t="str">
        <f>Student_Master!I12</f>
        <v>Data Analysis, JavaScript, Java, Power BI</v>
      </c>
      <c r="F18" t="str">
        <f t="shared" si="0"/>
        <v>Eligible</v>
      </c>
      <c r="G18" t="str">
        <f t="shared" si="1"/>
        <v>Eligible</v>
      </c>
    </row>
    <row r="19" spans="1:7" x14ac:dyDescent="0.25">
      <c r="A19" t="str">
        <f>Student_Master!A13</f>
        <v>STU0012</v>
      </c>
      <c r="B19" t="str">
        <f>Student_Master!B13</f>
        <v>Aditi Gupta</v>
      </c>
      <c r="C19">
        <f>Student_Master!E13</f>
        <v>9.4</v>
      </c>
      <c r="D19">
        <f>Student_Master!H13</f>
        <v>0</v>
      </c>
      <c r="E19" t="str">
        <f>Student_Master!I13</f>
        <v>Git, Data Analysis</v>
      </c>
      <c r="F19" t="str">
        <f t="shared" si="0"/>
        <v>Not Eligible</v>
      </c>
      <c r="G19" t="str">
        <f t="shared" si="1"/>
        <v>Required skill missing</v>
      </c>
    </row>
    <row r="20" spans="1:7" x14ac:dyDescent="0.25">
      <c r="A20" t="str">
        <f>Student_Master!A14</f>
        <v>STU0013</v>
      </c>
      <c r="B20" t="str">
        <f>Student_Master!B14</f>
        <v>Ananya Bhat</v>
      </c>
      <c r="C20">
        <f>Student_Master!E14</f>
        <v>9.24</v>
      </c>
      <c r="D20">
        <f>Student_Master!H14</f>
        <v>0</v>
      </c>
      <c r="E20" t="str">
        <f>Student_Master!I14</f>
        <v>Data Analysis, Python, React</v>
      </c>
      <c r="F20" t="str">
        <f t="shared" si="0"/>
        <v>Not Eligible</v>
      </c>
      <c r="G20" t="str">
        <f t="shared" si="1"/>
        <v>Required skill missing</v>
      </c>
    </row>
    <row r="21" spans="1:7" x14ac:dyDescent="0.25">
      <c r="A21" t="str">
        <f>Student_Master!A15</f>
        <v>STU0014</v>
      </c>
      <c r="B21" t="str">
        <f>Student_Master!B15</f>
        <v>Divya Nair</v>
      </c>
      <c r="C21">
        <f>Student_Master!E15</f>
        <v>7.44</v>
      </c>
      <c r="D21">
        <f>Student_Master!H15</f>
        <v>0</v>
      </c>
      <c r="E21" t="str">
        <f>Student_Master!I15</f>
        <v>Excel, JavaScript</v>
      </c>
      <c r="F21" t="str">
        <f t="shared" si="0"/>
        <v>Not Eligible</v>
      </c>
      <c r="G21" t="str">
        <f t="shared" si="1"/>
        <v>CGPA below requirement</v>
      </c>
    </row>
    <row r="22" spans="1:7" x14ac:dyDescent="0.25">
      <c r="A22" t="str">
        <f>Student_Master!A16</f>
        <v>STU0015</v>
      </c>
      <c r="B22" t="str">
        <f>Student_Master!B16</f>
        <v>Vikas Sharma</v>
      </c>
      <c r="C22">
        <f>Student_Master!E16</f>
        <v>7.59</v>
      </c>
      <c r="D22">
        <f>Student_Master!H16</f>
        <v>0</v>
      </c>
      <c r="E22" t="str">
        <f>Student_Master!I16</f>
        <v>React, Data Analysis</v>
      </c>
      <c r="F22" t="str">
        <f t="shared" si="0"/>
        <v>Not Eligible</v>
      </c>
      <c r="G22" t="str">
        <f t="shared" si="1"/>
        <v>Required skill missing</v>
      </c>
    </row>
    <row r="23" spans="1:7" x14ac:dyDescent="0.25">
      <c r="A23" t="str">
        <f>Student_Master!A17</f>
        <v>STU0016</v>
      </c>
      <c r="B23" t="str">
        <f>Student_Master!B17</f>
        <v>Ishita Bhat</v>
      </c>
      <c r="C23">
        <f>Student_Master!E17</f>
        <v>6.47</v>
      </c>
      <c r="D23">
        <f>Student_Master!H17</f>
        <v>0</v>
      </c>
      <c r="E23" t="str">
        <f>Student_Master!I17</f>
        <v>Python, JavaScript</v>
      </c>
      <c r="F23" t="str">
        <f t="shared" si="0"/>
        <v>Not Eligible</v>
      </c>
      <c r="G23" t="str">
        <f t="shared" si="1"/>
        <v>CGPA below requirement</v>
      </c>
    </row>
    <row r="24" spans="1:7" x14ac:dyDescent="0.25">
      <c r="A24" t="str">
        <f>Student_Master!A18</f>
        <v>STU0017</v>
      </c>
      <c r="B24" t="str">
        <f>Student_Master!B18</f>
        <v>Bhavana Patil</v>
      </c>
      <c r="C24">
        <f>Student_Master!E18</f>
        <v>6.56</v>
      </c>
      <c r="D24">
        <f>Student_Master!H18</f>
        <v>0</v>
      </c>
      <c r="E24" t="str">
        <f>Student_Master!I18</f>
        <v>HTML/CSS, Excel</v>
      </c>
      <c r="F24" t="str">
        <f t="shared" si="0"/>
        <v>Not Eligible</v>
      </c>
      <c r="G24" t="str">
        <f t="shared" si="1"/>
        <v>CGPA below requirement</v>
      </c>
    </row>
    <row r="25" spans="1:7" x14ac:dyDescent="0.25">
      <c r="A25" t="str">
        <f>Student_Master!A19</f>
        <v>STU0018</v>
      </c>
      <c r="B25" t="str">
        <f>Student_Master!B19</f>
        <v>Karan Joshi</v>
      </c>
      <c r="C25">
        <f>Student_Master!E19</f>
        <v>6.07</v>
      </c>
      <c r="D25">
        <f>Student_Master!H19</f>
        <v>0</v>
      </c>
      <c r="E25" t="str">
        <f>Student_Master!I19</f>
        <v>Git, Excel, SQL</v>
      </c>
      <c r="F25" t="str">
        <f t="shared" si="0"/>
        <v>Not Eligible</v>
      </c>
      <c r="G25" t="str">
        <f t="shared" si="1"/>
        <v>CGPA below requirement</v>
      </c>
    </row>
    <row r="26" spans="1:7" x14ac:dyDescent="0.25">
      <c r="A26" t="str">
        <f>Student_Master!A20</f>
        <v>STU0019</v>
      </c>
      <c r="B26" t="str">
        <f>Student_Master!B20</f>
        <v>Akash Mishra</v>
      </c>
      <c r="C26">
        <f>Student_Master!E20</f>
        <v>8.66</v>
      </c>
      <c r="D26">
        <f>Student_Master!H20</f>
        <v>0</v>
      </c>
      <c r="E26" t="str">
        <f>Student_Master!I20</f>
        <v>React, HTML/CSS, SQL, Excel</v>
      </c>
      <c r="F26" t="str">
        <f t="shared" si="0"/>
        <v>Not Eligible</v>
      </c>
      <c r="G26" t="str">
        <f t="shared" si="1"/>
        <v>Required skill missing</v>
      </c>
    </row>
    <row r="27" spans="1:7" x14ac:dyDescent="0.25">
      <c r="A27" t="str">
        <f>Student_Master!A21</f>
        <v>STU0020</v>
      </c>
      <c r="B27" t="str">
        <f>Student_Master!B21</f>
        <v>Pooja Sharma</v>
      </c>
      <c r="C27">
        <f>Student_Master!E21</f>
        <v>6.86</v>
      </c>
      <c r="D27">
        <f>Student_Master!H21</f>
        <v>1</v>
      </c>
      <c r="E27" t="str">
        <f>Student_Master!I21</f>
        <v>Power BI, Python, React, JavaScript</v>
      </c>
      <c r="F27" t="str">
        <f t="shared" si="0"/>
        <v>Not Eligible</v>
      </c>
      <c r="G27" t="str">
        <f t="shared" si="1"/>
        <v>CGPA below requirement</v>
      </c>
    </row>
    <row r="28" spans="1:7" x14ac:dyDescent="0.25">
      <c r="A28" t="str">
        <f>Student_Master!A22</f>
        <v>STU0021</v>
      </c>
      <c r="B28" t="str">
        <f>Student_Master!B22</f>
        <v>Pooja Gowda</v>
      </c>
      <c r="C28">
        <f>Student_Master!E22</f>
        <v>9.56</v>
      </c>
      <c r="D28">
        <f>Student_Master!H22</f>
        <v>0</v>
      </c>
      <c r="E28" t="str">
        <f>Student_Master!I22</f>
        <v>Power BI, Git, Java</v>
      </c>
      <c r="F28" t="str">
        <f t="shared" si="0"/>
        <v>Eligible</v>
      </c>
      <c r="G28" t="str">
        <f t="shared" si="1"/>
        <v>Eligible</v>
      </c>
    </row>
    <row r="29" spans="1:7" x14ac:dyDescent="0.25">
      <c r="A29" t="str">
        <f>Student_Master!A23</f>
        <v>STU0022</v>
      </c>
      <c r="B29" t="str">
        <f>Student_Master!B23</f>
        <v>Ananya Reddy</v>
      </c>
      <c r="C29">
        <f>Student_Master!E23</f>
        <v>6.17</v>
      </c>
      <c r="D29">
        <f>Student_Master!H23</f>
        <v>0</v>
      </c>
      <c r="E29" t="str">
        <f>Student_Master!I23</f>
        <v>Power BI, Python, React</v>
      </c>
      <c r="F29" t="str">
        <f t="shared" si="0"/>
        <v>Not Eligible</v>
      </c>
      <c r="G29" t="str">
        <f t="shared" si="1"/>
        <v>CGPA below requirement</v>
      </c>
    </row>
    <row r="30" spans="1:7" x14ac:dyDescent="0.25">
      <c r="A30" t="str">
        <f>Student_Master!A24</f>
        <v>STU0023</v>
      </c>
      <c r="B30" t="str">
        <f>Student_Master!B24</f>
        <v>Neha Singh</v>
      </c>
      <c r="C30">
        <f>Student_Master!E24</f>
        <v>5.94</v>
      </c>
      <c r="D30">
        <f>Student_Master!H24</f>
        <v>0</v>
      </c>
      <c r="E30" t="str">
        <f>Student_Master!I24</f>
        <v>Power BI, HTML/CSS</v>
      </c>
      <c r="F30" t="str">
        <f t="shared" si="0"/>
        <v>Not Eligible</v>
      </c>
      <c r="G30" t="str">
        <f t="shared" si="1"/>
        <v>CGPA below requirement</v>
      </c>
    </row>
    <row r="31" spans="1:7" x14ac:dyDescent="0.25">
      <c r="A31" t="str">
        <f>Student_Master!A25</f>
        <v>STU0024</v>
      </c>
      <c r="B31" t="str">
        <f>Student_Master!B25</f>
        <v>Aarav Kulkarni</v>
      </c>
      <c r="C31">
        <f>Student_Master!E25</f>
        <v>6.8</v>
      </c>
      <c r="D31">
        <f>Student_Master!H25</f>
        <v>1</v>
      </c>
      <c r="E31" t="str">
        <f>Student_Master!I25</f>
        <v>Git; Python; Java; JavaScript; SQL</v>
      </c>
      <c r="F31" t="str">
        <f t="shared" si="0"/>
        <v>Not Eligible</v>
      </c>
      <c r="G31" t="str">
        <f t="shared" si="1"/>
        <v>CGPA below requirement</v>
      </c>
    </row>
    <row r="32" spans="1:7" x14ac:dyDescent="0.25">
      <c r="A32" t="str">
        <f>Student_Master!A26</f>
        <v>STU0025</v>
      </c>
      <c r="B32" t="str">
        <f>Student_Master!B26</f>
        <v>Kavya Hegde</v>
      </c>
      <c r="C32">
        <f>Student_Master!E26</f>
        <v>9.01</v>
      </c>
      <c r="D32">
        <f>Student_Master!H26</f>
        <v>0</v>
      </c>
      <c r="E32" t="str">
        <f>Student_Master!I26</f>
        <v>JavaScript, Excel</v>
      </c>
      <c r="F32" t="str">
        <f t="shared" si="0"/>
        <v>Not Eligible</v>
      </c>
      <c r="G32" t="str">
        <f t="shared" si="1"/>
        <v>Required skill missing</v>
      </c>
    </row>
    <row r="33" spans="1:7" x14ac:dyDescent="0.25">
      <c r="A33" t="str">
        <f>Student_Master!A27</f>
        <v>STU0026</v>
      </c>
      <c r="B33" t="str">
        <f>Student_Master!B27</f>
        <v>Ananya Joshi</v>
      </c>
      <c r="C33">
        <f>Student_Master!E27</f>
        <v>5.89</v>
      </c>
      <c r="D33">
        <f>Student_Master!H27</f>
        <v>1</v>
      </c>
      <c r="E33" t="str">
        <f>Student_Master!I27</f>
        <v>HTML/CSS, Data Analysis, JavaScript, Git</v>
      </c>
      <c r="F33" t="str">
        <f t="shared" si="0"/>
        <v>Not Eligible</v>
      </c>
      <c r="G33" t="str">
        <f t="shared" si="1"/>
        <v>CGPA below requirement</v>
      </c>
    </row>
    <row r="34" spans="1:7" x14ac:dyDescent="0.25">
      <c r="A34" t="str">
        <f>Student_Master!A28</f>
        <v>STU0027</v>
      </c>
      <c r="B34" t="str">
        <f>Student_Master!B28</f>
        <v>Aarav Verma</v>
      </c>
      <c r="C34">
        <f>Student_Master!E28</f>
        <v>9.65</v>
      </c>
      <c r="D34">
        <f>Student_Master!H28</f>
        <v>0</v>
      </c>
      <c r="E34" t="str">
        <f>Student_Master!I28</f>
        <v>JavaScript, Data Analysis, SQL, Java</v>
      </c>
      <c r="F34" t="str">
        <f t="shared" si="0"/>
        <v>Not Eligible</v>
      </c>
      <c r="G34" t="str">
        <f t="shared" si="1"/>
        <v>Required skill missing</v>
      </c>
    </row>
    <row r="35" spans="1:7" x14ac:dyDescent="0.25">
      <c r="A35" t="str">
        <f>Student_Master!A29</f>
        <v>STU0028</v>
      </c>
      <c r="B35" t="str">
        <f>Student_Master!B29</f>
        <v>Rahul Shetty</v>
      </c>
      <c r="C35">
        <f>Student_Master!E29</f>
        <v>7.53</v>
      </c>
      <c r="D35">
        <f>Student_Master!H29</f>
        <v>0</v>
      </c>
      <c r="E35" t="str">
        <f>Student_Master!I29</f>
        <v>Power BI, Data Analysis</v>
      </c>
      <c r="F35" t="str">
        <f t="shared" si="0"/>
        <v>Eligible</v>
      </c>
      <c r="G35" t="str">
        <f t="shared" si="1"/>
        <v>Eligible</v>
      </c>
    </row>
    <row r="36" spans="1:7" x14ac:dyDescent="0.25">
      <c r="A36" t="str">
        <f>Student_Master!A30</f>
        <v>STU0029</v>
      </c>
      <c r="B36" t="str">
        <f>Student_Master!B30</f>
        <v>Karan Naik</v>
      </c>
      <c r="C36">
        <f>Student_Master!E30</f>
        <v>8.4600000000000009</v>
      </c>
      <c r="D36">
        <f>Student_Master!H30</f>
        <v>0</v>
      </c>
      <c r="E36" t="str">
        <f>Student_Master!I30</f>
        <v>JavaScript, Data Analysis, Excel, Python</v>
      </c>
      <c r="F36" t="str">
        <f t="shared" si="0"/>
        <v>Not Eligible</v>
      </c>
      <c r="G36" t="str">
        <f t="shared" si="1"/>
        <v>Required skill missing</v>
      </c>
    </row>
    <row r="37" spans="1:7" x14ac:dyDescent="0.25">
      <c r="A37" t="str">
        <f>Student_Master!A31</f>
        <v>STU0030</v>
      </c>
      <c r="B37" t="str">
        <f>Student_Master!B31</f>
        <v>Shreya Hegde</v>
      </c>
      <c r="C37">
        <f>Student_Master!E31</f>
        <v>8.5</v>
      </c>
      <c r="D37">
        <f>Student_Master!H31</f>
        <v>2</v>
      </c>
      <c r="E37" t="str">
        <f>Student_Master!I31</f>
        <v>SQL, Power BI, HTML/CSS</v>
      </c>
      <c r="F37" t="str">
        <f t="shared" si="0"/>
        <v>Not Eligible</v>
      </c>
      <c r="G37" t="str">
        <f t="shared" si="1"/>
        <v>Too many backlogs</v>
      </c>
    </row>
    <row r="38" spans="1:7" x14ac:dyDescent="0.25">
      <c r="A38" t="str">
        <f>Student_Master!A32</f>
        <v>STU0031</v>
      </c>
      <c r="B38" t="str">
        <f>Student_Master!B32</f>
        <v>Sneha Desai</v>
      </c>
      <c r="C38">
        <f>Student_Master!E32</f>
        <v>6.39</v>
      </c>
      <c r="D38">
        <f>Student_Master!H32</f>
        <v>0</v>
      </c>
      <c r="E38" t="str">
        <f>Student_Master!I32</f>
        <v>React, JavaScript</v>
      </c>
      <c r="F38" t="str">
        <f t="shared" si="0"/>
        <v>Not Eligible</v>
      </c>
      <c r="G38" t="str">
        <f t="shared" si="1"/>
        <v>CGPA below requirement</v>
      </c>
    </row>
    <row r="39" spans="1:7" x14ac:dyDescent="0.25">
      <c r="A39" t="str">
        <f>Student_Master!A33</f>
        <v>STU0032</v>
      </c>
      <c r="B39" t="str">
        <f>Student_Master!B33</f>
        <v>Nikhil Patil</v>
      </c>
      <c r="C39">
        <f>Student_Master!E33</f>
        <v>6.78</v>
      </c>
      <c r="D39">
        <f>Student_Master!H33</f>
        <v>0</v>
      </c>
      <c r="E39" t="str">
        <f>Student_Master!I33</f>
        <v>JavaScript, Java</v>
      </c>
      <c r="F39" t="str">
        <f t="shared" si="0"/>
        <v>Not Eligible</v>
      </c>
      <c r="G39" t="str">
        <f t="shared" si="1"/>
        <v>CGPA below requirement</v>
      </c>
    </row>
    <row r="40" spans="1:7" x14ac:dyDescent="0.25">
      <c r="A40" t="str">
        <f>Student_Master!A34</f>
        <v>STU0033</v>
      </c>
      <c r="B40" t="str">
        <f>Student_Master!B34</f>
        <v>Suraj Gowda</v>
      </c>
      <c r="C40">
        <f>Student_Master!E34</f>
        <v>7.63</v>
      </c>
      <c r="D40">
        <f>Student_Master!H34</f>
        <v>3</v>
      </c>
      <c r="E40" t="str">
        <f>Student_Master!I34</f>
        <v>React, Data Analysis, JavaScript, Git</v>
      </c>
      <c r="F40" t="str">
        <f t="shared" si="0"/>
        <v>Not Eligible</v>
      </c>
      <c r="G40" t="str">
        <f t="shared" si="1"/>
        <v>Too many backlogs</v>
      </c>
    </row>
    <row r="41" spans="1:7" x14ac:dyDescent="0.25">
      <c r="A41" t="str">
        <f>Student_Master!A35</f>
        <v>STU0034</v>
      </c>
      <c r="B41" t="str">
        <f>Student_Master!B35</f>
        <v>Akash Shetty</v>
      </c>
      <c r="C41">
        <f>Student_Master!E35</f>
        <v>8.81</v>
      </c>
      <c r="D41">
        <f>Student_Master!H35</f>
        <v>0</v>
      </c>
      <c r="E41" t="str">
        <f>Student_Master!I35</f>
        <v>Java, Power BI, React, Excel, HTML/CSS</v>
      </c>
      <c r="F41" t="str">
        <f t="shared" si="0"/>
        <v>Eligible</v>
      </c>
      <c r="G41" t="str">
        <f t="shared" si="1"/>
        <v>Eligible</v>
      </c>
    </row>
    <row r="42" spans="1:7" x14ac:dyDescent="0.25">
      <c r="A42" t="str">
        <f>Student_Master!A36</f>
        <v>STU0035</v>
      </c>
      <c r="B42" t="str">
        <f>Student_Master!B36</f>
        <v>Sneha Sharma</v>
      </c>
      <c r="C42">
        <f>Student_Master!E36</f>
        <v>7.33</v>
      </c>
      <c r="D42">
        <f>Student_Master!H36</f>
        <v>0</v>
      </c>
      <c r="E42" t="str">
        <f>Student_Master!I36</f>
        <v>Data Analysis, React, JavaScript, Excel</v>
      </c>
      <c r="F42" t="str">
        <f t="shared" si="0"/>
        <v>Not Eligible</v>
      </c>
      <c r="G42" t="str">
        <f t="shared" si="1"/>
        <v>CGPA below requirement</v>
      </c>
    </row>
    <row r="43" spans="1:7" x14ac:dyDescent="0.25">
      <c r="A43" t="str">
        <f>Student_Master!A37</f>
        <v>STU0036</v>
      </c>
      <c r="B43" t="str">
        <f>Student_Master!B37</f>
        <v>Karan Desai</v>
      </c>
      <c r="C43">
        <f>Student_Master!E37</f>
        <v>5.82</v>
      </c>
      <c r="D43">
        <f>Student_Master!H37</f>
        <v>1</v>
      </c>
      <c r="E43" t="str">
        <f>Student_Master!I37</f>
        <v>Data Analysis, Git, Java, React, SQL</v>
      </c>
      <c r="F43" t="str">
        <f t="shared" si="0"/>
        <v>Not Eligible</v>
      </c>
      <c r="G43" t="str">
        <f t="shared" si="1"/>
        <v>CGPA below requirement</v>
      </c>
    </row>
    <row r="44" spans="1:7" x14ac:dyDescent="0.25">
      <c r="A44" t="str">
        <f>Student_Master!A38</f>
        <v>STU0037</v>
      </c>
      <c r="B44" t="str">
        <f>Student_Master!B38</f>
        <v>Harsh Desai</v>
      </c>
      <c r="C44">
        <f>Student_Master!E38</f>
        <v>9.48</v>
      </c>
      <c r="D44">
        <f>Student_Master!H38</f>
        <v>1</v>
      </c>
      <c r="E44" t="str">
        <f>Student_Master!I38</f>
        <v>SQL, JavaScript</v>
      </c>
      <c r="F44" t="str">
        <f t="shared" si="0"/>
        <v>Not Eligible</v>
      </c>
      <c r="G44" t="str">
        <f t="shared" si="1"/>
        <v>Too many backlogs</v>
      </c>
    </row>
    <row r="45" spans="1:7" x14ac:dyDescent="0.25">
      <c r="A45" t="str">
        <f>Student_Master!A39</f>
        <v>STU0038</v>
      </c>
      <c r="B45" t="str">
        <f>Student_Master!B39</f>
        <v>Divya Reddy</v>
      </c>
      <c r="C45">
        <f>Student_Master!E39</f>
        <v>7.62</v>
      </c>
      <c r="D45">
        <f>Student_Master!H39</f>
        <v>0</v>
      </c>
      <c r="E45" t="str">
        <f>Student_Master!I39</f>
        <v>Power BI, SQL, React, Excel, HTML/CSS</v>
      </c>
      <c r="F45" t="str">
        <f t="shared" si="0"/>
        <v>Eligible</v>
      </c>
      <c r="G45" t="str">
        <f t="shared" si="1"/>
        <v>Eligible</v>
      </c>
    </row>
    <row r="46" spans="1:7" x14ac:dyDescent="0.25">
      <c r="A46" t="str">
        <f>Student_Master!A40</f>
        <v>STU0039</v>
      </c>
      <c r="B46" t="str">
        <f>Student_Master!B40</f>
        <v>Rohan Rao</v>
      </c>
      <c r="C46">
        <f>Student_Master!E40</f>
        <v>9.6</v>
      </c>
      <c r="D46">
        <f>Student_Master!H40</f>
        <v>0</v>
      </c>
      <c r="E46" t="str">
        <f>Student_Master!I40</f>
        <v>React, SQL, Java</v>
      </c>
      <c r="F46" t="str">
        <f t="shared" si="0"/>
        <v>Not Eligible</v>
      </c>
      <c r="G46" t="str">
        <f t="shared" si="1"/>
        <v>Required skill missing</v>
      </c>
    </row>
    <row r="47" spans="1:7" x14ac:dyDescent="0.25">
      <c r="A47" t="str">
        <f>Student_Master!A41</f>
        <v>STU0040</v>
      </c>
      <c r="B47" t="str">
        <f>Student_Master!B41</f>
        <v>Yash Jain</v>
      </c>
      <c r="C47">
        <f>Student_Master!E41</f>
        <v>6.23</v>
      </c>
      <c r="D47">
        <f>Student_Master!H41</f>
        <v>0</v>
      </c>
      <c r="E47" t="str">
        <f>Student_Master!I41</f>
        <v>JavaScript; Java; SQL; Power BI; HTML/CSS</v>
      </c>
      <c r="F47" t="str">
        <f t="shared" si="0"/>
        <v>Not Eligible</v>
      </c>
      <c r="G47" t="str">
        <f t="shared" si="1"/>
        <v>CGPA below requirement</v>
      </c>
    </row>
    <row r="48" spans="1:7" x14ac:dyDescent="0.25">
      <c r="A48" t="str">
        <f>Student_Master!A42</f>
        <v>STU0041</v>
      </c>
      <c r="B48" t="str">
        <f>Student_Master!B42</f>
        <v>Sneha Shetty</v>
      </c>
      <c r="C48">
        <f>Student_Master!E42</f>
        <v>8.93</v>
      </c>
      <c r="D48">
        <f>Student_Master!H42</f>
        <v>0</v>
      </c>
      <c r="E48" t="str">
        <f>Student_Master!I42</f>
        <v>Excel, JavaScript, React, Git</v>
      </c>
      <c r="F48" t="str">
        <f t="shared" si="0"/>
        <v>Not Eligible</v>
      </c>
      <c r="G48" t="str">
        <f t="shared" si="1"/>
        <v>Required skill missing</v>
      </c>
    </row>
    <row r="49" spans="1:7" x14ac:dyDescent="0.25">
      <c r="A49" t="str">
        <f>Student_Master!A43</f>
        <v>STU0042</v>
      </c>
      <c r="B49" t="str">
        <f>Student_Master!B43</f>
        <v>Tanvi Naik</v>
      </c>
      <c r="C49">
        <f>Student_Master!E43</f>
        <v>8.74</v>
      </c>
      <c r="D49">
        <f>Student_Master!H43</f>
        <v>1</v>
      </c>
      <c r="E49" t="str">
        <f>Student_Master!I43</f>
        <v>React, JavaScript, Power BI, Python, SQL</v>
      </c>
      <c r="F49" t="str">
        <f t="shared" si="0"/>
        <v>Not Eligible</v>
      </c>
      <c r="G49" t="str">
        <f t="shared" si="1"/>
        <v>Too many backlogs</v>
      </c>
    </row>
    <row r="50" spans="1:7" x14ac:dyDescent="0.25">
      <c r="A50" t="str">
        <f>Student_Master!A44</f>
        <v>STU0043</v>
      </c>
      <c r="B50" t="str">
        <f>Student_Master!B44</f>
        <v>Divya Bhat</v>
      </c>
      <c r="C50">
        <f>Student_Master!E44</f>
        <v>5.91</v>
      </c>
      <c r="D50">
        <f>Student_Master!H44</f>
        <v>0</v>
      </c>
      <c r="E50" t="str">
        <f>Student_Master!I44</f>
        <v>HTML/CSS, Power BI, Data Analysis, React</v>
      </c>
      <c r="F50" t="str">
        <f t="shared" si="0"/>
        <v>Not Eligible</v>
      </c>
      <c r="G50" t="str">
        <f t="shared" si="1"/>
        <v>CGPA below requirement</v>
      </c>
    </row>
    <row r="51" spans="1:7" x14ac:dyDescent="0.25">
      <c r="A51" t="str">
        <f>Student_Master!A45</f>
        <v>STU0044</v>
      </c>
      <c r="B51" t="str">
        <f>Student_Master!B45</f>
        <v>Shreya Pillai</v>
      </c>
      <c r="C51">
        <f>Student_Master!E45</f>
        <v>8.83</v>
      </c>
      <c r="D51">
        <f>Student_Master!H45</f>
        <v>0</v>
      </c>
      <c r="E51" t="str">
        <f>Student_Master!I45</f>
        <v>SQL, Power BI</v>
      </c>
      <c r="F51" t="str">
        <f t="shared" si="0"/>
        <v>Eligible</v>
      </c>
      <c r="G51" t="str">
        <f t="shared" si="1"/>
        <v>Eligible</v>
      </c>
    </row>
    <row r="52" spans="1:7" x14ac:dyDescent="0.25">
      <c r="A52" t="str">
        <f>Student_Master!A46</f>
        <v>STU0045</v>
      </c>
      <c r="B52" t="str">
        <f>Student_Master!B46</f>
        <v>Ananya Mishra</v>
      </c>
      <c r="C52">
        <f>Student_Master!E46</f>
        <v>8.01</v>
      </c>
      <c r="D52">
        <f>Student_Master!H46</f>
        <v>0</v>
      </c>
      <c r="E52" t="str">
        <f>Student_Master!I46</f>
        <v>React, Power BI, Data Analysis, Python</v>
      </c>
      <c r="F52" t="str">
        <f t="shared" si="0"/>
        <v>Eligible</v>
      </c>
      <c r="G52" t="str">
        <f t="shared" si="1"/>
        <v>Eligible</v>
      </c>
    </row>
    <row r="53" spans="1:7" x14ac:dyDescent="0.25">
      <c r="A53" t="str">
        <f>Student_Master!A47</f>
        <v>STU0046</v>
      </c>
      <c r="B53" t="str">
        <f>Student_Master!B47</f>
        <v>Rahul Shetty</v>
      </c>
      <c r="C53">
        <f>Student_Master!E47</f>
        <v>6.67</v>
      </c>
      <c r="D53">
        <f>Student_Master!H47</f>
        <v>2</v>
      </c>
      <c r="E53" t="str">
        <f>Student_Master!I47</f>
        <v>SQL, Java, Power BI, Git</v>
      </c>
      <c r="F53" t="str">
        <f t="shared" si="0"/>
        <v>Not Eligible</v>
      </c>
      <c r="G53" t="str">
        <f t="shared" si="1"/>
        <v>CGPA below requirement</v>
      </c>
    </row>
    <row r="54" spans="1:7" x14ac:dyDescent="0.25">
      <c r="A54" t="str">
        <f>Student_Master!A48</f>
        <v>STU0047</v>
      </c>
      <c r="B54" t="str">
        <f>Student_Master!B48</f>
        <v>Yash Gowda</v>
      </c>
      <c r="C54">
        <f>Student_Master!E48</f>
        <v>9.6999999999999993</v>
      </c>
      <c r="D54">
        <f>Student_Master!H48</f>
        <v>0</v>
      </c>
      <c r="E54" t="str">
        <f>Student_Master!I48</f>
        <v>SQL, Excel, Power BI, Java, JavaScript</v>
      </c>
      <c r="F54" t="str">
        <f t="shared" si="0"/>
        <v>Eligible</v>
      </c>
      <c r="G54" t="str">
        <f t="shared" si="1"/>
        <v>Eligible</v>
      </c>
    </row>
    <row r="55" spans="1:7" x14ac:dyDescent="0.25">
      <c r="A55" t="str">
        <f>Student_Master!A49</f>
        <v>STU0048</v>
      </c>
      <c r="B55" t="str">
        <f>Student_Master!B49</f>
        <v>Rohan Jain</v>
      </c>
      <c r="C55">
        <f>Student_Master!E49</f>
        <v>7.4</v>
      </c>
      <c r="D55">
        <f>Student_Master!H49</f>
        <v>0</v>
      </c>
      <c r="E55" t="str">
        <f>Student_Master!I49</f>
        <v>Git, Power BI, SQL</v>
      </c>
      <c r="F55" t="str">
        <f t="shared" si="0"/>
        <v>Not Eligible</v>
      </c>
      <c r="G55" t="str">
        <f t="shared" si="1"/>
        <v>CGPA below requirement</v>
      </c>
    </row>
    <row r="56" spans="1:7" x14ac:dyDescent="0.25">
      <c r="A56" t="str">
        <f>Student_Master!A50</f>
        <v>STU0049</v>
      </c>
      <c r="B56" t="str">
        <f>Student_Master!B50</f>
        <v>Bhavana Mishra</v>
      </c>
      <c r="C56">
        <f>Student_Master!E50</f>
        <v>7.76</v>
      </c>
      <c r="D56">
        <f>Student_Master!H50</f>
        <v>0</v>
      </c>
      <c r="E56" t="str">
        <f>Student_Master!I50</f>
        <v>Power BI, Excel, SQL, JavaScript, React</v>
      </c>
      <c r="F56" t="str">
        <f t="shared" si="0"/>
        <v>Eligible</v>
      </c>
      <c r="G56" t="str">
        <f t="shared" si="1"/>
        <v>Eligible</v>
      </c>
    </row>
    <row r="57" spans="1:7" x14ac:dyDescent="0.25">
      <c r="A57" t="str">
        <f>Student_Master!A51</f>
        <v>STU0050</v>
      </c>
      <c r="B57" t="str">
        <f>Student_Master!B51</f>
        <v>Sanjay Pillai</v>
      </c>
      <c r="C57">
        <f>Student_Master!E51</f>
        <v>5.81</v>
      </c>
      <c r="D57">
        <f>Student_Master!H51</f>
        <v>0</v>
      </c>
      <c r="E57" t="str">
        <f>Student_Master!I51</f>
        <v>Power BI, Git, React</v>
      </c>
      <c r="F57" t="str">
        <f t="shared" si="0"/>
        <v>Not Eligible</v>
      </c>
      <c r="G57" t="str">
        <f t="shared" si="1"/>
        <v>CGPA below requirement</v>
      </c>
    </row>
    <row r="58" spans="1:7" x14ac:dyDescent="0.25">
      <c r="A58" t="str">
        <f>Student_Master!A52</f>
        <v>STU0051</v>
      </c>
      <c r="B58" t="str">
        <f>Student_Master!B52</f>
        <v>Pranav Hegde</v>
      </c>
      <c r="C58">
        <f>Student_Master!E52</f>
        <v>6.26</v>
      </c>
      <c r="D58">
        <f>Student_Master!H52</f>
        <v>0</v>
      </c>
      <c r="E58" t="str">
        <f>Student_Master!I52</f>
        <v>SQL, Excel, Python</v>
      </c>
      <c r="F58" t="str">
        <f t="shared" si="0"/>
        <v>Not Eligible</v>
      </c>
      <c r="G58" t="str">
        <f t="shared" si="1"/>
        <v>CGPA below requirement</v>
      </c>
    </row>
    <row r="59" spans="1:7" x14ac:dyDescent="0.25">
      <c r="A59" t="str">
        <f>Student_Master!A53</f>
        <v>STU0052</v>
      </c>
      <c r="B59" t="str">
        <f>Student_Master!B53</f>
        <v>Shreya Pillai</v>
      </c>
      <c r="C59">
        <f>Student_Master!E53</f>
        <v>7.67</v>
      </c>
      <c r="D59">
        <f>Student_Master!H53</f>
        <v>0</v>
      </c>
      <c r="E59" t="str">
        <f>Student_Master!I53</f>
        <v>React, SQL, Excel, Java, HTML/CSS</v>
      </c>
      <c r="F59" t="str">
        <f t="shared" si="0"/>
        <v>Not Eligible</v>
      </c>
      <c r="G59" t="str">
        <f t="shared" si="1"/>
        <v>Required skill missing</v>
      </c>
    </row>
    <row r="60" spans="1:7" x14ac:dyDescent="0.25">
      <c r="A60" t="str">
        <f>Student_Master!A54</f>
        <v>STU0053</v>
      </c>
      <c r="B60" t="str">
        <f>Student_Master!B54</f>
        <v>Shreya Rao</v>
      </c>
      <c r="C60">
        <f>Student_Master!E54</f>
        <v>9.09</v>
      </c>
      <c r="D60">
        <f>Student_Master!H54</f>
        <v>0</v>
      </c>
      <c r="E60" t="str">
        <f>Student_Master!I54</f>
        <v>Power BI, Python, JavaScript, HTML/CSS, Java</v>
      </c>
      <c r="F60" t="str">
        <f t="shared" si="0"/>
        <v>Eligible</v>
      </c>
      <c r="G60" t="str">
        <f t="shared" si="1"/>
        <v>Eligible</v>
      </c>
    </row>
    <row r="61" spans="1:7" x14ac:dyDescent="0.25">
      <c r="A61" t="str">
        <f>Student_Master!A55</f>
        <v>STU0054</v>
      </c>
      <c r="B61" t="str">
        <f>Student_Master!B55</f>
        <v>Pooja Sharma</v>
      </c>
      <c r="C61">
        <f>Student_Master!E55</f>
        <v>7.45</v>
      </c>
      <c r="D61">
        <f>Student_Master!H55</f>
        <v>0</v>
      </c>
      <c r="E61" t="str">
        <f>Student_Master!I55</f>
        <v>React, SQL</v>
      </c>
      <c r="F61" t="str">
        <f t="shared" si="0"/>
        <v>Not Eligible</v>
      </c>
      <c r="G61" t="str">
        <f t="shared" si="1"/>
        <v>CGPA below requirement</v>
      </c>
    </row>
    <row r="62" spans="1:7" x14ac:dyDescent="0.25">
      <c r="A62" t="str">
        <f>Student_Master!A56</f>
        <v>STU0055</v>
      </c>
      <c r="B62" t="str">
        <f>Student_Master!B56</f>
        <v>Nisha Rao</v>
      </c>
      <c r="C62">
        <f>Student_Master!E56</f>
        <v>6.02</v>
      </c>
      <c r="D62">
        <f>Student_Master!H56</f>
        <v>0</v>
      </c>
      <c r="E62" t="str">
        <f>Student_Master!I56</f>
        <v>Excel, Java, Power BI, React, SQL</v>
      </c>
      <c r="F62" t="str">
        <f t="shared" si="0"/>
        <v>Not Eligible</v>
      </c>
      <c r="G62" t="str">
        <f t="shared" si="1"/>
        <v>CGPA below requirement</v>
      </c>
    </row>
    <row r="63" spans="1:7" x14ac:dyDescent="0.25">
      <c r="A63" t="str">
        <f>Student_Master!A57</f>
        <v>STU0056</v>
      </c>
      <c r="B63" t="str">
        <f>Student_Master!B57</f>
        <v>Pooja Joshi</v>
      </c>
      <c r="C63">
        <f>Student_Master!E57</f>
        <v>8.24</v>
      </c>
      <c r="D63">
        <f>Student_Master!H57</f>
        <v>0</v>
      </c>
      <c r="E63" t="str">
        <f>Student_Master!I57</f>
        <v>SQL; Java; Git; Data Analysis; Excel</v>
      </c>
      <c r="F63" t="str">
        <f t="shared" si="0"/>
        <v>Not Eligible</v>
      </c>
      <c r="G63" t="str">
        <f t="shared" si="1"/>
        <v>Required skill missing</v>
      </c>
    </row>
    <row r="64" spans="1:7" x14ac:dyDescent="0.25">
      <c r="A64" t="str">
        <f>Student_Master!A58</f>
        <v>STU0057</v>
      </c>
      <c r="B64" t="str">
        <f>Student_Master!B58</f>
        <v>Vikas Sharma</v>
      </c>
      <c r="C64">
        <f>Student_Master!E58</f>
        <v>9.7200000000000006</v>
      </c>
      <c r="D64">
        <f>Student_Master!H58</f>
        <v>0</v>
      </c>
      <c r="E64" t="str">
        <f>Student_Master!I58</f>
        <v>SQL, Power BI, JavaScript</v>
      </c>
      <c r="F64" t="str">
        <f t="shared" si="0"/>
        <v>Eligible</v>
      </c>
      <c r="G64" t="str">
        <f t="shared" si="1"/>
        <v>Eligible</v>
      </c>
    </row>
    <row r="65" spans="1:7" x14ac:dyDescent="0.25">
      <c r="A65" t="str">
        <f>Student_Master!A59</f>
        <v>STU0058</v>
      </c>
      <c r="B65" t="str">
        <f>Student_Master!B59</f>
        <v>Deepak Gupta</v>
      </c>
      <c r="C65">
        <f>Student_Master!E59</f>
        <v>9.15</v>
      </c>
      <c r="D65">
        <f>Student_Master!H59</f>
        <v>1</v>
      </c>
      <c r="E65" t="str">
        <f>Student_Master!I59</f>
        <v>Data Analysis, React, HTML/CSS, Python, Power BI</v>
      </c>
      <c r="F65" t="str">
        <f t="shared" si="0"/>
        <v>Not Eligible</v>
      </c>
      <c r="G65" t="str">
        <f t="shared" si="1"/>
        <v>Too many backlogs</v>
      </c>
    </row>
    <row r="66" spans="1:7" x14ac:dyDescent="0.25">
      <c r="A66" t="str">
        <f>Student_Master!A60</f>
        <v>STU0059</v>
      </c>
      <c r="B66" t="str">
        <f>Student_Master!B60</f>
        <v>Yash Naik</v>
      </c>
      <c r="C66">
        <f>Student_Master!E60</f>
        <v>9.2200000000000006</v>
      </c>
      <c r="D66">
        <f>Student_Master!H60</f>
        <v>0</v>
      </c>
      <c r="E66" t="str">
        <f>Student_Master!I60</f>
        <v>JavaScript, Python, React, Excel, SQL</v>
      </c>
      <c r="F66" t="str">
        <f t="shared" si="0"/>
        <v>Not Eligible</v>
      </c>
      <c r="G66" t="str">
        <f t="shared" si="1"/>
        <v>Required skill missing</v>
      </c>
    </row>
    <row r="67" spans="1:7" x14ac:dyDescent="0.25">
      <c r="A67" t="str">
        <f>Student_Master!A61</f>
        <v>STU0060</v>
      </c>
      <c r="B67" t="str">
        <f>Student_Master!B61</f>
        <v>Akash Kumar</v>
      </c>
      <c r="C67">
        <f>Student_Master!E61</f>
        <v>9.44</v>
      </c>
      <c r="D67">
        <f>Student_Master!H61</f>
        <v>1</v>
      </c>
      <c r="E67" t="str">
        <f>Student_Master!I61</f>
        <v>SQL, React, Power BI</v>
      </c>
      <c r="F67" t="str">
        <f t="shared" si="0"/>
        <v>Not Eligible</v>
      </c>
      <c r="G67" t="str">
        <f t="shared" si="1"/>
        <v>Too many backlogs</v>
      </c>
    </row>
    <row r="68" spans="1:7" x14ac:dyDescent="0.25">
      <c r="A68" t="str">
        <f>Student_Master!A62</f>
        <v>STU0061</v>
      </c>
      <c r="B68" t="str">
        <f>Student_Master!B62</f>
        <v>Ananya Rao</v>
      </c>
      <c r="C68">
        <f>Student_Master!E62</f>
        <v>8.31</v>
      </c>
      <c r="D68">
        <f>Student_Master!H62</f>
        <v>0</v>
      </c>
      <c r="E68" t="str">
        <f>Student_Master!I62</f>
        <v>Java, Power BI</v>
      </c>
      <c r="F68" t="str">
        <f t="shared" si="0"/>
        <v>Eligible</v>
      </c>
      <c r="G68" t="str">
        <f t="shared" si="1"/>
        <v>Eligible</v>
      </c>
    </row>
    <row r="69" spans="1:7" x14ac:dyDescent="0.25">
      <c r="A69" t="str">
        <f>Student_Master!A63</f>
        <v>STU0062</v>
      </c>
      <c r="B69" t="str">
        <f>Student_Master!B63</f>
        <v>Varun Kulkarni</v>
      </c>
      <c r="C69">
        <f>Student_Master!E63</f>
        <v>8.58</v>
      </c>
      <c r="D69">
        <f>Student_Master!H63</f>
        <v>1</v>
      </c>
      <c r="E69" t="str">
        <f>Student_Master!I63</f>
        <v>HTML/CSS, Git, JavaScript, SQL</v>
      </c>
      <c r="F69" t="str">
        <f t="shared" si="0"/>
        <v>Not Eligible</v>
      </c>
      <c r="G69" t="str">
        <f t="shared" si="1"/>
        <v>Too many backlogs</v>
      </c>
    </row>
    <row r="70" spans="1:7" x14ac:dyDescent="0.25">
      <c r="A70" t="str">
        <f>Student_Master!A64</f>
        <v>STU0063</v>
      </c>
      <c r="B70" t="str">
        <f>Student_Master!B64</f>
        <v>Neha Hegde</v>
      </c>
      <c r="C70">
        <f>Student_Master!E64</f>
        <v>6.12</v>
      </c>
      <c r="D70">
        <f>Student_Master!H64</f>
        <v>0</v>
      </c>
      <c r="E70" t="str">
        <f>Student_Master!I64</f>
        <v>Java, React, Power BI</v>
      </c>
      <c r="F70" t="str">
        <f t="shared" si="0"/>
        <v>Not Eligible</v>
      </c>
      <c r="G70" t="str">
        <f t="shared" si="1"/>
        <v>CGPA below requirement</v>
      </c>
    </row>
    <row r="71" spans="1:7" x14ac:dyDescent="0.25">
      <c r="A71" t="str">
        <f>Student_Master!A65</f>
        <v>STU0064</v>
      </c>
      <c r="B71" t="str">
        <f>Student_Master!B65</f>
        <v>Riya Hegde</v>
      </c>
      <c r="C71">
        <f>Student_Master!E65</f>
        <v>7.57</v>
      </c>
      <c r="D71">
        <f>Student_Master!H65</f>
        <v>0</v>
      </c>
      <c r="E71" t="str">
        <f>Student_Master!I65</f>
        <v>Power BI, React, Git, SQL, Java</v>
      </c>
      <c r="F71" t="str">
        <f t="shared" si="0"/>
        <v>Eligible</v>
      </c>
      <c r="G71" t="str">
        <f t="shared" si="1"/>
        <v>Eligible</v>
      </c>
    </row>
    <row r="72" spans="1:7" x14ac:dyDescent="0.25">
      <c r="A72" t="str">
        <f>Student_Master!A66</f>
        <v>STU0065</v>
      </c>
      <c r="B72" t="str">
        <f>Student_Master!B66</f>
        <v>Rohan Singh</v>
      </c>
      <c r="C72">
        <f>Student_Master!E66</f>
        <v>9.7100000000000009</v>
      </c>
      <c r="D72">
        <f>Student_Master!H66</f>
        <v>0</v>
      </c>
      <c r="E72" t="str">
        <f>Student_Master!I66</f>
        <v>Git, React</v>
      </c>
      <c r="F72" t="str">
        <f t="shared" si="0"/>
        <v>Not Eligible</v>
      </c>
      <c r="G72" t="str">
        <f t="shared" si="1"/>
        <v>Required skill missing</v>
      </c>
    </row>
    <row r="73" spans="1:7" x14ac:dyDescent="0.25">
      <c r="A73" t="str">
        <f>Student_Master!A67</f>
        <v>STU0066</v>
      </c>
      <c r="B73" t="str">
        <f>Student_Master!B67</f>
        <v>Akash Hegde</v>
      </c>
      <c r="C73">
        <f>Student_Master!E67</f>
        <v>6.56</v>
      </c>
      <c r="D73">
        <f>Student_Master!H67</f>
        <v>0</v>
      </c>
      <c r="E73" t="str">
        <f>Student_Master!I67</f>
        <v>SQL, Excel, Power BI</v>
      </c>
      <c r="F73" t="str">
        <f t="shared" ref="F73:F136" si="2">IF(AND(C73&gt;=$E$3,D73&lt;=$E$4,ISNUMBER(SEARCH($E$5,E73))),"Eligible","Not Eligible")</f>
        <v>Not Eligible</v>
      </c>
      <c r="G73" t="str">
        <f t="shared" ref="G73:G136" si="3">IF(C73&lt;$E$3,"CGPA below requirement",IF(D73&gt;$E$4,"Too many backlogs",IF(NOT(ISNUMBER(SEARCH($E$5,E73))),"Required skill missing","Eligible")))</f>
        <v>CGPA below requirement</v>
      </c>
    </row>
    <row r="74" spans="1:7" x14ac:dyDescent="0.25">
      <c r="A74" t="str">
        <f>Student_Master!A68</f>
        <v>STU0067</v>
      </c>
      <c r="B74" t="str">
        <f>Student_Master!B68</f>
        <v>Nikhil Reddy</v>
      </c>
      <c r="C74">
        <f>Student_Master!E68</f>
        <v>6.5</v>
      </c>
      <c r="D74">
        <f>Student_Master!H68</f>
        <v>2</v>
      </c>
      <c r="E74" t="str">
        <f>Student_Master!I68</f>
        <v>Python, Power BI, React, JavaScript</v>
      </c>
      <c r="F74" t="str">
        <f t="shared" si="2"/>
        <v>Not Eligible</v>
      </c>
      <c r="G74" t="str">
        <f t="shared" si="3"/>
        <v>CGPA below requirement</v>
      </c>
    </row>
    <row r="75" spans="1:7" x14ac:dyDescent="0.25">
      <c r="A75" t="str">
        <f>Student_Master!A69</f>
        <v>STU0068</v>
      </c>
      <c r="B75" t="str">
        <f>Student_Master!B69</f>
        <v>Suraj Joshi</v>
      </c>
      <c r="C75">
        <f>Student_Master!E69</f>
        <v>9.24</v>
      </c>
      <c r="D75">
        <f>Student_Master!H69</f>
        <v>2</v>
      </c>
      <c r="E75" t="str">
        <f>Student_Master!I69</f>
        <v>SQL, JavaScript, Excel, Python</v>
      </c>
      <c r="F75" t="str">
        <f t="shared" si="2"/>
        <v>Not Eligible</v>
      </c>
      <c r="G75" t="str">
        <f t="shared" si="3"/>
        <v>Too many backlogs</v>
      </c>
    </row>
    <row r="76" spans="1:7" x14ac:dyDescent="0.25">
      <c r="A76" t="str">
        <f>Student_Master!A70</f>
        <v>STU0069</v>
      </c>
      <c r="B76" t="str">
        <f>Student_Master!B70</f>
        <v>Sanjay Bhat</v>
      </c>
      <c r="C76">
        <f>Student_Master!E70</f>
        <v>9.56</v>
      </c>
      <c r="D76">
        <f>Student_Master!H70</f>
        <v>0</v>
      </c>
      <c r="E76" t="str">
        <f>Student_Master!I70</f>
        <v>Git, Java, SQL, HTML/CSS</v>
      </c>
      <c r="F76" t="str">
        <f t="shared" si="2"/>
        <v>Not Eligible</v>
      </c>
      <c r="G76" t="str">
        <f t="shared" si="3"/>
        <v>Required skill missing</v>
      </c>
    </row>
    <row r="77" spans="1:7" x14ac:dyDescent="0.25">
      <c r="A77" t="str">
        <f>Student_Master!A71</f>
        <v>STU0070</v>
      </c>
      <c r="B77" t="str">
        <f>Student_Master!B71</f>
        <v>Sneha Mishra</v>
      </c>
      <c r="C77">
        <f>Student_Master!E71</f>
        <v>5.98</v>
      </c>
      <c r="D77">
        <f>Student_Master!H71</f>
        <v>0</v>
      </c>
      <c r="E77" t="str">
        <f>Student_Master!I71</f>
        <v>Data Analysis, Python, JavaScript</v>
      </c>
      <c r="F77" t="str">
        <f t="shared" si="2"/>
        <v>Not Eligible</v>
      </c>
      <c r="G77" t="str">
        <f t="shared" si="3"/>
        <v>CGPA below requirement</v>
      </c>
    </row>
    <row r="78" spans="1:7" x14ac:dyDescent="0.25">
      <c r="A78" t="str">
        <f>Student_Master!A72</f>
        <v>STU0071</v>
      </c>
      <c r="B78" t="str">
        <f>Student_Master!B72</f>
        <v>Ananya Singh</v>
      </c>
      <c r="C78">
        <f>Student_Master!E72</f>
        <v>8.77</v>
      </c>
      <c r="D78">
        <f>Student_Master!H72</f>
        <v>0</v>
      </c>
      <c r="E78" t="str">
        <f>Student_Master!I72</f>
        <v>Git, JavaScript, Power BI, Excel, HTML/CSS</v>
      </c>
      <c r="F78" t="str">
        <f t="shared" si="2"/>
        <v>Eligible</v>
      </c>
      <c r="G78" t="str">
        <f t="shared" si="3"/>
        <v>Eligible</v>
      </c>
    </row>
    <row r="79" spans="1:7" x14ac:dyDescent="0.25">
      <c r="A79" t="str">
        <f>Student_Master!A73</f>
        <v>STU0072</v>
      </c>
      <c r="B79" t="str">
        <f>Student_Master!B73</f>
        <v>Vikas Mishra</v>
      </c>
      <c r="C79">
        <f>Student_Master!E73</f>
        <v>7.39</v>
      </c>
      <c r="D79">
        <f>Student_Master!H73</f>
        <v>1</v>
      </c>
      <c r="E79" t="str">
        <f>Student_Master!I73</f>
        <v>SQL, Java, Excel, React, Python</v>
      </c>
      <c r="F79" t="str">
        <f t="shared" si="2"/>
        <v>Not Eligible</v>
      </c>
      <c r="G79" t="str">
        <f t="shared" si="3"/>
        <v>CGPA below requirement</v>
      </c>
    </row>
    <row r="80" spans="1:7" x14ac:dyDescent="0.25">
      <c r="A80" t="str">
        <f>Student_Master!A74</f>
        <v>STU0073</v>
      </c>
      <c r="B80" t="str">
        <f>Student_Master!B74</f>
        <v>Ananya Sharma</v>
      </c>
      <c r="C80">
        <f>Student_Master!E74</f>
        <v>6.66</v>
      </c>
      <c r="D80">
        <f>Student_Master!H74</f>
        <v>0</v>
      </c>
      <c r="E80" t="str">
        <f>Student_Master!I74</f>
        <v>Power BI, Python</v>
      </c>
      <c r="F80" t="str">
        <f t="shared" si="2"/>
        <v>Not Eligible</v>
      </c>
      <c r="G80" t="str">
        <f t="shared" si="3"/>
        <v>CGPA below requirement</v>
      </c>
    </row>
    <row r="81" spans="1:7" x14ac:dyDescent="0.25">
      <c r="A81" t="str">
        <f>Student_Master!A75</f>
        <v>STU0074</v>
      </c>
      <c r="B81" t="str">
        <f>Student_Master!B75</f>
        <v>Pooja Pillai</v>
      </c>
      <c r="C81">
        <f>Student_Master!E75</f>
        <v>7.23</v>
      </c>
      <c r="D81">
        <f>Student_Master!H75</f>
        <v>0</v>
      </c>
      <c r="E81" t="str">
        <f>Student_Master!I75</f>
        <v>Excel, Python, JavaScript, Power BI</v>
      </c>
      <c r="F81" t="str">
        <f t="shared" si="2"/>
        <v>Not Eligible</v>
      </c>
      <c r="G81" t="str">
        <f t="shared" si="3"/>
        <v>CGPA below requirement</v>
      </c>
    </row>
    <row r="82" spans="1:7" x14ac:dyDescent="0.25">
      <c r="A82" t="str">
        <f>Student_Master!A76</f>
        <v>STU0075</v>
      </c>
      <c r="B82" t="str">
        <f>Student_Master!B76</f>
        <v>Nisha Naik</v>
      </c>
      <c r="C82">
        <f>Student_Master!E76</f>
        <v>7.82</v>
      </c>
      <c r="D82">
        <f>Student_Master!H76</f>
        <v>1</v>
      </c>
      <c r="E82" t="str">
        <f>Student_Master!I76</f>
        <v>React, Excel, Data Analysis, Java</v>
      </c>
      <c r="F82" t="str">
        <f t="shared" si="2"/>
        <v>Not Eligible</v>
      </c>
      <c r="G82" t="str">
        <f t="shared" si="3"/>
        <v>Too many backlogs</v>
      </c>
    </row>
    <row r="83" spans="1:7" x14ac:dyDescent="0.25">
      <c r="A83" t="str">
        <f>Student_Master!A77</f>
        <v>STU0076</v>
      </c>
      <c r="B83" t="str">
        <f>Student_Master!B77</f>
        <v>Ananya Mishra</v>
      </c>
      <c r="C83">
        <f>Student_Master!E77</f>
        <v>7.09</v>
      </c>
      <c r="D83">
        <f>Student_Master!H77</f>
        <v>0</v>
      </c>
      <c r="E83" t="str">
        <f>Student_Master!I77</f>
        <v>JavaScript, Data Analysis, Power BI, Java</v>
      </c>
      <c r="F83" t="str">
        <f t="shared" si="2"/>
        <v>Not Eligible</v>
      </c>
      <c r="G83" t="str">
        <f t="shared" si="3"/>
        <v>CGPA below requirement</v>
      </c>
    </row>
    <row r="84" spans="1:7" x14ac:dyDescent="0.25">
      <c r="A84" t="str">
        <f>Student_Master!A78</f>
        <v>STU0077</v>
      </c>
      <c r="B84" t="str">
        <f>Student_Master!B78</f>
        <v>Pranav Gowda</v>
      </c>
      <c r="C84">
        <f>Student_Master!E78</f>
        <v>7.61</v>
      </c>
      <c r="D84">
        <f>Student_Master!H78</f>
        <v>0</v>
      </c>
      <c r="E84" t="str">
        <f>Student_Master!I78</f>
        <v>SQL, HTML/CSS, JavaScript, Python, Data Analysis</v>
      </c>
      <c r="F84" t="str">
        <f t="shared" si="2"/>
        <v>Not Eligible</v>
      </c>
      <c r="G84" t="str">
        <f t="shared" si="3"/>
        <v>Required skill missing</v>
      </c>
    </row>
    <row r="85" spans="1:7" x14ac:dyDescent="0.25">
      <c r="A85" t="str">
        <f>Student_Master!A79</f>
        <v>STU0078</v>
      </c>
      <c r="B85" t="str">
        <f>Student_Master!B79</f>
        <v>Tanvi Bhat</v>
      </c>
      <c r="C85">
        <f>Student_Master!E79</f>
        <v>9.1300000000000008</v>
      </c>
      <c r="D85">
        <f>Student_Master!H79</f>
        <v>0</v>
      </c>
      <c r="E85" t="str">
        <f>Student_Master!I79</f>
        <v>Data Analysis, Excel, HTML/CSS</v>
      </c>
      <c r="F85" t="str">
        <f t="shared" si="2"/>
        <v>Not Eligible</v>
      </c>
      <c r="G85" t="str">
        <f t="shared" si="3"/>
        <v>Required skill missing</v>
      </c>
    </row>
    <row r="86" spans="1:7" x14ac:dyDescent="0.25">
      <c r="A86" t="str">
        <f>Student_Master!A80</f>
        <v>STU0079</v>
      </c>
      <c r="B86" t="str">
        <f>Student_Master!B80</f>
        <v>Divya Bhat</v>
      </c>
      <c r="C86">
        <f>Student_Master!E80</f>
        <v>8.1999999999999993</v>
      </c>
      <c r="D86">
        <f>Student_Master!H80</f>
        <v>0</v>
      </c>
      <c r="E86" t="str">
        <f>Student_Master!I80</f>
        <v>Java, SQL, HTML/CSS, JavaScript, Power BI</v>
      </c>
      <c r="F86" t="str">
        <f t="shared" si="2"/>
        <v>Eligible</v>
      </c>
      <c r="G86" t="str">
        <f t="shared" si="3"/>
        <v>Eligible</v>
      </c>
    </row>
    <row r="87" spans="1:7" x14ac:dyDescent="0.25">
      <c r="A87" t="str">
        <f>Student_Master!A81</f>
        <v>STU0080</v>
      </c>
      <c r="B87" t="str">
        <f>Student_Master!B81</f>
        <v>Suraj Sharma</v>
      </c>
      <c r="C87">
        <f>Student_Master!E81</f>
        <v>9.52</v>
      </c>
      <c r="D87">
        <f>Student_Master!H81</f>
        <v>0</v>
      </c>
      <c r="E87" t="str">
        <f>Student_Master!I81</f>
        <v>HTML/CSS, Git, Excel, SQL</v>
      </c>
      <c r="F87" t="str">
        <f t="shared" si="2"/>
        <v>Not Eligible</v>
      </c>
      <c r="G87" t="str">
        <f t="shared" si="3"/>
        <v>Required skill missing</v>
      </c>
    </row>
    <row r="88" spans="1:7" x14ac:dyDescent="0.25">
      <c r="A88" t="str">
        <f>Student_Master!A82</f>
        <v>STU0081</v>
      </c>
      <c r="B88" t="str">
        <f>Student_Master!B82</f>
        <v>Akash Joshi</v>
      </c>
      <c r="C88">
        <f>Student_Master!E82</f>
        <v>7.92</v>
      </c>
      <c r="D88">
        <f>Student_Master!H82</f>
        <v>0</v>
      </c>
      <c r="E88" t="str">
        <f>Student_Master!I82</f>
        <v>HTML/CSS, SQL, Excel, Data Analysis</v>
      </c>
      <c r="F88" t="str">
        <f t="shared" si="2"/>
        <v>Not Eligible</v>
      </c>
      <c r="G88" t="str">
        <f t="shared" si="3"/>
        <v>Required skill missing</v>
      </c>
    </row>
    <row r="89" spans="1:7" x14ac:dyDescent="0.25">
      <c r="A89" t="str">
        <f>Student_Master!A83</f>
        <v>STU0082</v>
      </c>
      <c r="B89" t="str">
        <f>Student_Master!B83</f>
        <v>Nisha Verma</v>
      </c>
      <c r="C89">
        <f>Student_Master!E83</f>
        <v>7.5</v>
      </c>
      <c r="D89">
        <f>Student_Master!H83</f>
        <v>0</v>
      </c>
      <c r="E89" t="str">
        <f>Student_Master!I83</f>
        <v>HTML/CSS, JavaScript</v>
      </c>
      <c r="F89" t="str">
        <f t="shared" si="2"/>
        <v>Not Eligible</v>
      </c>
      <c r="G89" t="str">
        <f t="shared" si="3"/>
        <v>Required skill missing</v>
      </c>
    </row>
    <row r="90" spans="1:7" x14ac:dyDescent="0.25">
      <c r="A90" t="str">
        <f>Student_Master!A84</f>
        <v>STU0083</v>
      </c>
      <c r="B90" t="str">
        <f>Student_Master!B84</f>
        <v>Arjun Desai</v>
      </c>
      <c r="C90">
        <f>Student_Master!E84</f>
        <v>6.68</v>
      </c>
      <c r="D90">
        <f>Student_Master!H84</f>
        <v>0</v>
      </c>
      <c r="E90" t="str">
        <f>Student_Master!I84</f>
        <v>Python, Power BI, Data Analysis</v>
      </c>
      <c r="F90" t="str">
        <f t="shared" si="2"/>
        <v>Not Eligible</v>
      </c>
      <c r="G90" t="str">
        <f t="shared" si="3"/>
        <v>CGPA below requirement</v>
      </c>
    </row>
    <row r="91" spans="1:7" x14ac:dyDescent="0.25">
      <c r="A91" t="str">
        <f>Student_Master!A85</f>
        <v>STU0084</v>
      </c>
      <c r="B91" t="str">
        <f>Student_Master!B85</f>
        <v>Riya Desai</v>
      </c>
      <c r="C91">
        <f>Student_Master!E85</f>
        <v>8.0299999999999994</v>
      </c>
      <c r="D91">
        <f>Student_Master!H85</f>
        <v>0</v>
      </c>
      <c r="E91" t="str">
        <f>Student_Master!I85</f>
        <v>JavaScript, Excel</v>
      </c>
      <c r="F91" t="str">
        <f t="shared" si="2"/>
        <v>Not Eligible</v>
      </c>
      <c r="G91" t="str">
        <f t="shared" si="3"/>
        <v>Required skill missing</v>
      </c>
    </row>
    <row r="92" spans="1:7" x14ac:dyDescent="0.25">
      <c r="A92" t="str">
        <f>Student_Master!A86</f>
        <v>STU0085</v>
      </c>
      <c r="B92" t="str">
        <f>Student_Master!B86</f>
        <v>Akash Desai</v>
      </c>
      <c r="C92">
        <f>Student_Master!E86</f>
        <v>6.26</v>
      </c>
      <c r="D92">
        <f>Student_Master!H86</f>
        <v>1</v>
      </c>
      <c r="E92" t="str">
        <f>Student_Master!I86</f>
        <v>HTML/CSS, SQL, JavaScript, React, Excel</v>
      </c>
      <c r="F92" t="str">
        <f t="shared" si="2"/>
        <v>Not Eligible</v>
      </c>
      <c r="G92" t="str">
        <f t="shared" si="3"/>
        <v>CGPA below requirement</v>
      </c>
    </row>
    <row r="93" spans="1:7" x14ac:dyDescent="0.25">
      <c r="A93" t="str">
        <f>Student_Master!A87</f>
        <v>STU0086</v>
      </c>
      <c r="B93" t="str">
        <f>Student_Master!B87</f>
        <v>Arjun Reddy</v>
      </c>
      <c r="C93">
        <f>Student_Master!E87</f>
        <v>6.69</v>
      </c>
      <c r="D93">
        <f>Student_Master!H87</f>
        <v>0</v>
      </c>
      <c r="E93" t="str">
        <f>Student_Master!I87</f>
        <v>HTML/CSS, Git, Python</v>
      </c>
      <c r="F93" t="str">
        <f t="shared" si="2"/>
        <v>Not Eligible</v>
      </c>
      <c r="G93" t="str">
        <f t="shared" si="3"/>
        <v>CGPA below requirement</v>
      </c>
    </row>
    <row r="94" spans="1:7" x14ac:dyDescent="0.25">
      <c r="A94" t="str">
        <f>Student_Master!A88</f>
        <v>STU0087</v>
      </c>
      <c r="B94" t="str">
        <f>Student_Master!B88</f>
        <v>Riya Patil</v>
      </c>
      <c r="C94">
        <f>Student_Master!E88</f>
        <v>7.78</v>
      </c>
      <c r="D94">
        <f>Student_Master!H88</f>
        <v>0</v>
      </c>
      <c r="E94" t="str">
        <f>Student_Master!I88</f>
        <v>HTML/CSS, Python, React, Excel</v>
      </c>
      <c r="F94" t="str">
        <f t="shared" si="2"/>
        <v>Not Eligible</v>
      </c>
      <c r="G94" t="str">
        <f t="shared" si="3"/>
        <v>Required skill missing</v>
      </c>
    </row>
    <row r="95" spans="1:7" x14ac:dyDescent="0.25">
      <c r="A95" t="str">
        <f>Student_Master!A89</f>
        <v>STU0088</v>
      </c>
      <c r="B95" t="str">
        <f>Student_Master!B89</f>
        <v>Neha Patil</v>
      </c>
      <c r="C95">
        <f>Student_Master!E89</f>
        <v>7.04</v>
      </c>
      <c r="D95">
        <f>Student_Master!H89</f>
        <v>1</v>
      </c>
      <c r="E95" t="str">
        <f>Student_Master!I89</f>
        <v>SQL, Data Analysis</v>
      </c>
      <c r="F95" t="str">
        <f t="shared" si="2"/>
        <v>Not Eligible</v>
      </c>
      <c r="G95" t="str">
        <f t="shared" si="3"/>
        <v>CGPA below requirement</v>
      </c>
    </row>
    <row r="96" spans="1:7" x14ac:dyDescent="0.25">
      <c r="A96" t="str">
        <f>Student_Master!A90</f>
        <v>STU0089</v>
      </c>
      <c r="B96" t="str">
        <f>Student_Master!B90</f>
        <v>Akash Verma</v>
      </c>
      <c r="C96">
        <f>Student_Master!E90</f>
        <v>8.41</v>
      </c>
      <c r="D96">
        <f>Student_Master!H90</f>
        <v>0</v>
      </c>
      <c r="E96" t="str">
        <f>Student_Master!I90</f>
        <v>React, SQL</v>
      </c>
      <c r="F96" t="str">
        <f t="shared" si="2"/>
        <v>Not Eligible</v>
      </c>
      <c r="G96" t="str">
        <f t="shared" si="3"/>
        <v>Required skill missing</v>
      </c>
    </row>
    <row r="97" spans="1:7" x14ac:dyDescent="0.25">
      <c r="A97" t="str">
        <f>Student_Master!A91</f>
        <v>STU0090</v>
      </c>
      <c r="B97" t="str">
        <f>Student_Master!B91</f>
        <v>Rohan Patil</v>
      </c>
      <c r="C97">
        <f>Student_Master!E91</f>
        <v>6.79</v>
      </c>
      <c r="D97">
        <f>Student_Master!H91</f>
        <v>0</v>
      </c>
      <c r="E97" t="str">
        <f>Student_Master!I91</f>
        <v>HTML/CSS, Git, Power BI</v>
      </c>
      <c r="F97" t="str">
        <f t="shared" si="2"/>
        <v>Not Eligible</v>
      </c>
      <c r="G97" t="str">
        <f t="shared" si="3"/>
        <v>CGPA below requirement</v>
      </c>
    </row>
    <row r="98" spans="1:7" x14ac:dyDescent="0.25">
      <c r="A98" t="str">
        <f>Student_Master!A92</f>
        <v>STU0091</v>
      </c>
      <c r="B98" t="str">
        <f>Student_Master!B92</f>
        <v>Manoj Shetty</v>
      </c>
      <c r="C98">
        <f>Student_Master!E92</f>
        <v>7.12</v>
      </c>
      <c r="D98">
        <f>Student_Master!H92</f>
        <v>0</v>
      </c>
      <c r="E98" t="str">
        <f>Student_Master!I92</f>
        <v>HTML/CSS, SQL, Python</v>
      </c>
      <c r="F98" t="str">
        <f t="shared" si="2"/>
        <v>Not Eligible</v>
      </c>
      <c r="G98" t="str">
        <f t="shared" si="3"/>
        <v>CGPA below requirement</v>
      </c>
    </row>
    <row r="99" spans="1:7" x14ac:dyDescent="0.25">
      <c r="A99" t="str">
        <f>Student_Master!A93</f>
        <v>STU0092</v>
      </c>
      <c r="B99" t="str">
        <f>Student_Master!B93</f>
        <v>Karan Gowda</v>
      </c>
      <c r="C99">
        <f>Student_Master!E93</f>
        <v>8.0399999999999991</v>
      </c>
      <c r="D99">
        <f>Student_Master!H93</f>
        <v>0</v>
      </c>
      <c r="E99" t="str">
        <f>Student_Master!I93</f>
        <v>JavaScript, Data Analysis</v>
      </c>
      <c r="F99" t="str">
        <f t="shared" si="2"/>
        <v>Not Eligible</v>
      </c>
      <c r="G99" t="str">
        <f t="shared" si="3"/>
        <v>Required skill missing</v>
      </c>
    </row>
    <row r="100" spans="1:7" x14ac:dyDescent="0.25">
      <c r="A100" t="str">
        <f>Student_Master!A94</f>
        <v>STU0093</v>
      </c>
      <c r="B100" t="str">
        <f>Student_Master!B94</f>
        <v>Tanvi Jain</v>
      </c>
      <c r="C100">
        <f>Student_Master!E94</f>
        <v>9.8000000000000007</v>
      </c>
      <c r="D100">
        <f>Student_Master!H94</f>
        <v>1</v>
      </c>
      <c r="E100" t="str">
        <f>Student_Master!I94</f>
        <v>HTML/CSS, Python</v>
      </c>
      <c r="F100" t="str">
        <f t="shared" si="2"/>
        <v>Not Eligible</v>
      </c>
      <c r="G100" t="str">
        <f t="shared" si="3"/>
        <v>Too many backlogs</v>
      </c>
    </row>
    <row r="101" spans="1:7" x14ac:dyDescent="0.25">
      <c r="A101" t="str">
        <f>Student_Master!A95</f>
        <v>STU0094</v>
      </c>
      <c r="B101" t="str">
        <f>Student_Master!B95</f>
        <v>Neha Nair</v>
      </c>
      <c r="C101">
        <f>Student_Master!E95</f>
        <v>7.55</v>
      </c>
      <c r="D101">
        <f>Student_Master!H95</f>
        <v>0</v>
      </c>
      <c r="E101" t="str">
        <f>Student_Master!I95</f>
        <v>Git, Power BI, React, SQL, Data Analysis</v>
      </c>
      <c r="F101" t="str">
        <f t="shared" si="2"/>
        <v>Eligible</v>
      </c>
      <c r="G101" t="str">
        <f t="shared" si="3"/>
        <v>Eligible</v>
      </c>
    </row>
    <row r="102" spans="1:7" x14ac:dyDescent="0.25">
      <c r="A102" t="str">
        <f>Student_Master!A96</f>
        <v>STU0095</v>
      </c>
      <c r="B102" t="str">
        <f>Student_Master!B96</f>
        <v>Rahul Rao</v>
      </c>
      <c r="C102">
        <f>Student_Master!E96</f>
        <v>7.65</v>
      </c>
      <c r="D102">
        <f>Student_Master!H96</f>
        <v>0</v>
      </c>
      <c r="E102" t="str">
        <f>Student_Master!I96</f>
        <v>Java, Python, Power BI</v>
      </c>
      <c r="F102" t="str">
        <f t="shared" si="2"/>
        <v>Eligible</v>
      </c>
      <c r="G102" t="str">
        <f t="shared" si="3"/>
        <v>Eligible</v>
      </c>
    </row>
    <row r="103" spans="1:7" x14ac:dyDescent="0.25">
      <c r="A103" t="str">
        <f>Student_Master!A97</f>
        <v>STU0096</v>
      </c>
      <c r="B103" t="str">
        <f>Student_Master!B97</f>
        <v>Divya Desai</v>
      </c>
      <c r="C103">
        <f>Student_Master!E97</f>
        <v>6.14</v>
      </c>
      <c r="D103">
        <f>Student_Master!H97</f>
        <v>0</v>
      </c>
      <c r="E103" t="str">
        <f>Student_Master!I97</f>
        <v>SQL, Java, React, Python, Excel</v>
      </c>
      <c r="F103" t="str">
        <f t="shared" si="2"/>
        <v>Not Eligible</v>
      </c>
      <c r="G103" t="str">
        <f t="shared" si="3"/>
        <v>CGPA below requirement</v>
      </c>
    </row>
    <row r="104" spans="1:7" x14ac:dyDescent="0.25">
      <c r="A104" t="str">
        <f>Student_Master!A98</f>
        <v>STU0097</v>
      </c>
      <c r="B104" t="str">
        <f>Student_Master!B98</f>
        <v>Tanvi Gowda</v>
      </c>
      <c r="C104">
        <f>Student_Master!E98</f>
        <v>6.7</v>
      </c>
      <c r="D104">
        <f>Student_Master!H98</f>
        <v>0</v>
      </c>
      <c r="E104" t="str">
        <f>Student_Master!I98</f>
        <v>Python, Git, Excel, Data Analysis</v>
      </c>
      <c r="F104" t="str">
        <f t="shared" si="2"/>
        <v>Not Eligible</v>
      </c>
      <c r="G104" t="str">
        <f t="shared" si="3"/>
        <v>CGPA below requirement</v>
      </c>
    </row>
    <row r="105" spans="1:7" x14ac:dyDescent="0.25">
      <c r="A105" t="str">
        <f>Student_Master!A99</f>
        <v>STU0098</v>
      </c>
      <c r="B105" t="str">
        <f>Student_Master!B99</f>
        <v>Nikhil Reddy</v>
      </c>
      <c r="C105">
        <f>Student_Master!E99</f>
        <v>5.82</v>
      </c>
      <c r="D105">
        <f>Student_Master!H99</f>
        <v>1</v>
      </c>
      <c r="E105" t="str">
        <f>Student_Master!I99</f>
        <v>SQL, Power BI, Java, Python, Excel</v>
      </c>
      <c r="F105" t="str">
        <f t="shared" si="2"/>
        <v>Not Eligible</v>
      </c>
      <c r="G105" t="str">
        <f t="shared" si="3"/>
        <v>CGPA below requirement</v>
      </c>
    </row>
    <row r="106" spans="1:7" x14ac:dyDescent="0.25">
      <c r="A106" t="str">
        <f>Student_Master!A100</f>
        <v>STU0099</v>
      </c>
      <c r="B106" t="str">
        <f>Student_Master!B100</f>
        <v>Shreya Reddy</v>
      </c>
      <c r="C106">
        <f>Student_Master!E100</f>
        <v>8.19</v>
      </c>
      <c r="D106">
        <f>Student_Master!H100</f>
        <v>0</v>
      </c>
      <c r="E106" t="str">
        <f>Student_Master!I100</f>
        <v>Power BI, JavaScript, Excel</v>
      </c>
      <c r="F106" t="str">
        <f t="shared" si="2"/>
        <v>Eligible</v>
      </c>
      <c r="G106" t="str">
        <f t="shared" si="3"/>
        <v>Eligible</v>
      </c>
    </row>
    <row r="107" spans="1:7" x14ac:dyDescent="0.25">
      <c r="A107" t="str">
        <f>Student_Master!A101</f>
        <v>STU0100</v>
      </c>
      <c r="B107" t="str">
        <f>Student_Master!B101</f>
        <v>Aarav Singh</v>
      </c>
      <c r="C107">
        <f>Student_Master!E101</f>
        <v>9.61</v>
      </c>
      <c r="D107">
        <f>Student_Master!H101</f>
        <v>0</v>
      </c>
      <c r="E107" t="str">
        <f>Student_Master!I101</f>
        <v>JavaScript, React</v>
      </c>
      <c r="F107" t="str">
        <f t="shared" si="2"/>
        <v>Not Eligible</v>
      </c>
      <c r="G107" t="str">
        <f t="shared" si="3"/>
        <v>Required skill missing</v>
      </c>
    </row>
    <row r="108" spans="1:7" x14ac:dyDescent="0.25">
      <c r="A108" t="str">
        <f>Student_Master!A102</f>
        <v>STU0101</v>
      </c>
      <c r="B108" t="str">
        <f>Student_Master!B102</f>
        <v>Nikhil Gowda</v>
      </c>
      <c r="C108">
        <f>Student_Master!E102</f>
        <v>6.76</v>
      </c>
      <c r="D108">
        <f>Student_Master!H102</f>
        <v>0</v>
      </c>
      <c r="E108" t="str">
        <f>Student_Master!I102</f>
        <v>Python, Excel, HTML/CSS, Power BI</v>
      </c>
      <c r="F108" t="str">
        <f t="shared" si="2"/>
        <v>Not Eligible</v>
      </c>
      <c r="G108" t="str">
        <f t="shared" si="3"/>
        <v>CGPA below requirement</v>
      </c>
    </row>
    <row r="109" spans="1:7" x14ac:dyDescent="0.25">
      <c r="A109" t="str">
        <f>Student_Master!A103</f>
        <v>STU0102</v>
      </c>
      <c r="B109" t="str">
        <f>Student_Master!B103</f>
        <v>Vikas Mishra</v>
      </c>
      <c r="C109">
        <f>Student_Master!E103</f>
        <v>6.05</v>
      </c>
      <c r="D109">
        <f>Student_Master!H103</f>
        <v>0</v>
      </c>
      <c r="E109" t="str">
        <f>Student_Master!I103</f>
        <v>Java, Excel</v>
      </c>
      <c r="F109" t="str">
        <f t="shared" si="2"/>
        <v>Not Eligible</v>
      </c>
      <c r="G109" t="str">
        <f t="shared" si="3"/>
        <v>CGPA below requirement</v>
      </c>
    </row>
    <row r="110" spans="1:7" x14ac:dyDescent="0.25">
      <c r="A110" t="str">
        <f>Student_Master!A104</f>
        <v>STU0103</v>
      </c>
      <c r="B110" t="str">
        <f>Student_Master!B104</f>
        <v>Suraj Naik</v>
      </c>
      <c r="C110">
        <f>Student_Master!E104</f>
        <v>5.95</v>
      </c>
      <c r="D110">
        <f>Student_Master!H104</f>
        <v>1</v>
      </c>
      <c r="E110" t="str">
        <f>Student_Master!I104</f>
        <v>HTML/CSS, Power BI</v>
      </c>
      <c r="F110" t="str">
        <f t="shared" si="2"/>
        <v>Not Eligible</v>
      </c>
      <c r="G110" t="str">
        <f t="shared" si="3"/>
        <v>CGPA below requirement</v>
      </c>
    </row>
    <row r="111" spans="1:7" x14ac:dyDescent="0.25">
      <c r="A111" t="str">
        <f>Student_Master!A105</f>
        <v>STU0104</v>
      </c>
      <c r="B111" t="str">
        <f>Student_Master!B105</f>
        <v>Ishita Kumar</v>
      </c>
      <c r="C111">
        <f>Student_Master!E105</f>
        <v>9.69</v>
      </c>
      <c r="D111">
        <f>Student_Master!H105</f>
        <v>2</v>
      </c>
      <c r="E111" t="str">
        <f>Student_Master!I105</f>
        <v>SQL, JavaScript, Git, Java</v>
      </c>
      <c r="F111" t="str">
        <f t="shared" si="2"/>
        <v>Not Eligible</v>
      </c>
      <c r="G111" t="str">
        <f t="shared" si="3"/>
        <v>Too many backlogs</v>
      </c>
    </row>
    <row r="112" spans="1:7" x14ac:dyDescent="0.25">
      <c r="A112" t="str">
        <f>Student_Master!A106</f>
        <v>STU0105</v>
      </c>
      <c r="B112" t="str">
        <f>Student_Master!B106</f>
        <v>Rohan Bhat</v>
      </c>
      <c r="C112">
        <f>Student_Master!E106</f>
        <v>7.11</v>
      </c>
      <c r="D112">
        <f>Student_Master!H106</f>
        <v>0</v>
      </c>
      <c r="E112" t="str">
        <f>Student_Master!I106</f>
        <v>React, HTML/CSS, Git</v>
      </c>
      <c r="F112" t="str">
        <f t="shared" si="2"/>
        <v>Not Eligible</v>
      </c>
      <c r="G112" t="str">
        <f t="shared" si="3"/>
        <v>CGPA below requirement</v>
      </c>
    </row>
    <row r="113" spans="1:7" x14ac:dyDescent="0.25">
      <c r="A113" t="str">
        <f>Student_Master!A107</f>
        <v>STU0106</v>
      </c>
      <c r="B113" t="str">
        <f>Student_Master!B107</f>
        <v>Kavya Desai</v>
      </c>
      <c r="C113">
        <f>Student_Master!E107</f>
        <v>6.1</v>
      </c>
      <c r="D113">
        <f>Student_Master!H107</f>
        <v>1</v>
      </c>
      <c r="E113" t="str">
        <f>Student_Master!I107</f>
        <v>Excel, Python, React</v>
      </c>
      <c r="F113" t="str">
        <f t="shared" si="2"/>
        <v>Not Eligible</v>
      </c>
      <c r="G113" t="str">
        <f t="shared" si="3"/>
        <v>CGPA below requirement</v>
      </c>
    </row>
    <row r="114" spans="1:7" x14ac:dyDescent="0.25">
      <c r="A114" t="str">
        <f>Student_Master!A108</f>
        <v>STU0107</v>
      </c>
      <c r="B114" t="str">
        <f>Student_Master!B108</f>
        <v>Harsh Gupta</v>
      </c>
      <c r="C114">
        <f>Student_Master!E108</f>
        <v>6.41</v>
      </c>
      <c r="D114">
        <f>Student_Master!H108</f>
        <v>0</v>
      </c>
      <c r="E114" t="str">
        <f>Student_Master!I108</f>
        <v>Git, Python</v>
      </c>
      <c r="F114" t="str">
        <f t="shared" si="2"/>
        <v>Not Eligible</v>
      </c>
      <c r="G114" t="str">
        <f t="shared" si="3"/>
        <v>CGPA below requirement</v>
      </c>
    </row>
    <row r="115" spans="1:7" x14ac:dyDescent="0.25">
      <c r="A115" t="str">
        <f>Student_Master!A109</f>
        <v>STU0108</v>
      </c>
      <c r="B115" t="str">
        <f>Student_Master!B109</f>
        <v>Deepak Rao</v>
      </c>
      <c r="C115">
        <f>Student_Master!E109</f>
        <v>8.74</v>
      </c>
      <c r="D115">
        <f>Student_Master!H109</f>
        <v>0</v>
      </c>
      <c r="E115" t="str">
        <f>Student_Master!I109</f>
        <v>Power BI, React, Java, Git</v>
      </c>
      <c r="F115" t="str">
        <f t="shared" si="2"/>
        <v>Eligible</v>
      </c>
      <c r="G115" t="str">
        <f t="shared" si="3"/>
        <v>Eligible</v>
      </c>
    </row>
    <row r="116" spans="1:7" x14ac:dyDescent="0.25">
      <c r="A116" t="str">
        <f>Student_Master!A110</f>
        <v>STU0109</v>
      </c>
      <c r="B116" t="str">
        <f>Student_Master!B110</f>
        <v>Sanjay Kulkarni</v>
      </c>
      <c r="C116">
        <f>Student_Master!E110</f>
        <v>7.61</v>
      </c>
      <c r="D116">
        <f>Student_Master!H110</f>
        <v>0</v>
      </c>
      <c r="E116" t="str">
        <f>Student_Master!I110</f>
        <v>HTML/CSS, SQL, Power BI, Python</v>
      </c>
      <c r="F116" t="str">
        <f t="shared" si="2"/>
        <v>Eligible</v>
      </c>
      <c r="G116" t="str">
        <f t="shared" si="3"/>
        <v>Eligible</v>
      </c>
    </row>
    <row r="117" spans="1:7" x14ac:dyDescent="0.25">
      <c r="A117" t="str">
        <f>Student_Master!A111</f>
        <v>STU0110</v>
      </c>
      <c r="B117" t="str">
        <f>Student_Master!B111</f>
        <v>Arjun Jain</v>
      </c>
      <c r="C117">
        <f>Student_Master!E111</f>
        <v>6.29</v>
      </c>
      <c r="D117">
        <f>Student_Master!H111</f>
        <v>1</v>
      </c>
      <c r="E117" t="str">
        <f>Student_Master!I111</f>
        <v>HTML/CSS, Data Analysis</v>
      </c>
      <c r="F117" t="str">
        <f t="shared" si="2"/>
        <v>Not Eligible</v>
      </c>
      <c r="G117" t="str">
        <f t="shared" si="3"/>
        <v>CGPA below requirement</v>
      </c>
    </row>
    <row r="118" spans="1:7" x14ac:dyDescent="0.25">
      <c r="A118" t="str">
        <f>Student_Master!A112</f>
        <v>STU0111</v>
      </c>
      <c r="B118" t="str">
        <f>Student_Master!B112</f>
        <v>Kavya Shetty</v>
      </c>
      <c r="C118">
        <f>Student_Master!E112</f>
        <v>7.04</v>
      </c>
      <c r="D118">
        <f>Student_Master!H112</f>
        <v>0</v>
      </c>
      <c r="E118" t="str">
        <f>Student_Master!I112</f>
        <v>Git, SQL, Python, React, HTML/CSS</v>
      </c>
      <c r="F118" t="str">
        <f t="shared" si="2"/>
        <v>Not Eligible</v>
      </c>
      <c r="G118" t="str">
        <f t="shared" si="3"/>
        <v>CGPA below requirement</v>
      </c>
    </row>
    <row r="119" spans="1:7" x14ac:dyDescent="0.25">
      <c r="A119" t="str">
        <f>Student_Master!A113</f>
        <v>STU0112</v>
      </c>
      <c r="B119" t="str">
        <f>Student_Master!B113</f>
        <v>Pooja Hegde</v>
      </c>
      <c r="C119">
        <f>Student_Master!E113</f>
        <v>7.53</v>
      </c>
      <c r="D119">
        <f>Student_Master!H113</f>
        <v>0</v>
      </c>
      <c r="E119" t="str">
        <f>Student_Master!I113</f>
        <v>Power BI, Python, Data Analysis</v>
      </c>
      <c r="F119" t="str">
        <f t="shared" si="2"/>
        <v>Eligible</v>
      </c>
      <c r="G119" t="str">
        <f t="shared" si="3"/>
        <v>Eligible</v>
      </c>
    </row>
    <row r="120" spans="1:7" x14ac:dyDescent="0.25">
      <c r="A120" t="str">
        <f>Student_Master!A114</f>
        <v>STU0113</v>
      </c>
      <c r="B120" t="str">
        <f>Student_Master!B114</f>
        <v>Shreya Jain</v>
      </c>
      <c r="C120">
        <f>Student_Master!E114</f>
        <v>6.59</v>
      </c>
      <c r="D120">
        <f>Student_Master!H114</f>
        <v>0</v>
      </c>
      <c r="E120" t="str">
        <f>Student_Master!I114</f>
        <v>Data Analysis, Python</v>
      </c>
      <c r="F120" t="str">
        <f t="shared" si="2"/>
        <v>Not Eligible</v>
      </c>
      <c r="G120" t="str">
        <f t="shared" si="3"/>
        <v>CGPA below requirement</v>
      </c>
    </row>
    <row r="121" spans="1:7" x14ac:dyDescent="0.25">
      <c r="A121" t="str">
        <f>Student_Master!A115</f>
        <v>STU0114</v>
      </c>
      <c r="B121" t="str">
        <f>Student_Master!B115</f>
        <v>Nisha Gupta</v>
      </c>
      <c r="C121">
        <f>Student_Master!E115</f>
        <v>9.1</v>
      </c>
      <c r="D121">
        <f>Student_Master!H115</f>
        <v>0</v>
      </c>
      <c r="E121" t="str">
        <f>Student_Master!I115</f>
        <v>Java, JavaScript, Excel, Git</v>
      </c>
      <c r="F121" t="str">
        <f t="shared" si="2"/>
        <v>Not Eligible</v>
      </c>
      <c r="G121" t="str">
        <f t="shared" si="3"/>
        <v>Required skill missing</v>
      </c>
    </row>
    <row r="122" spans="1:7" x14ac:dyDescent="0.25">
      <c r="A122" t="str">
        <f>Student_Master!A116</f>
        <v>STU0115</v>
      </c>
      <c r="B122" t="str">
        <f>Student_Master!B116</f>
        <v>Manoj Shetty</v>
      </c>
      <c r="C122">
        <f>Student_Master!E116</f>
        <v>7.61</v>
      </c>
      <c r="D122">
        <f>Student_Master!H116</f>
        <v>0</v>
      </c>
      <c r="E122" t="str">
        <f>Student_Master!I116</f>
        <v>Java, HTML/CSS, Python, React, Data Analysis</v>
      </c>
      <c r="F122" t="str">
        <f t="shared" si="2"/>
        <v>Not Eligible</v>
      </c>
      <c r="G122" t="str">
        <f t="shared" si="3"/>
        <v>Required skill missing</v>
      </c>
    </row>
    <row r="123" spans="1:7" x14ac:dyDescent="0.25">
      <c r="A123" t="str">
        <f>Student_Master!A117</f>
        <v>STU0116</v>
      </c>
      <c r="B123" t="str">
        <f>Student_Master!B117</f>
        <v>Divya Kulkarni</v>
      </c>
      <c r="C123">
        <f>Student_Master!E117</f>
        <v>7.08</v>
      </c>
      <c r="D123">
        <f>Student_Master!H117</f>
        <v>0</v>
      </c>
      <c r="E123" t="str">
        <f>Student_Master!I117</f>
        <v>Excel, Power BI</v>
      </c>
      <c r="F123" t="str">
        <f t="shared" si="2"/>
        <v>Not Eligible</v>
      </c>
      <c r="G123" t="str">
        <f t="shared" si="3"/>
        <v>CGPA below requirement</v>
      </c>
    </row>
    <row r="124" spans="1:7" x14ac:dyDescent="0.25">
      <c r="A124" t="str">
        <f>Student_Master!A118</f>
        <v>STU0117</v>
      </c>
      <c r="B124" t="str">
        <f>Student_Master!B118</f>
        <v>Riya Singh</v>
      </c>
      <c r="C124">
        <f>Student_Master!E118</f>
        <v>6.56</v>
      </c>
      <c r="D124">
        <f>Student_Master!H118</f>
        <v>0</v>
      </c>
      <c r="E124" t="str">
        <f>Student_Master!I118</f>
        <v>React, Excel, SQL, Java</v>
      </c>
      <c r="F124" t="str">
        <f t="shared" si="2"/>
        <v>Not Eligible</v>
      </c>
      <c r="G124" t="str">
        <f t="shared" si="3"/>
        <v>CGPA below requirement</v>
      </c>
    </row>
    <row r="125" spans="1:7" x14ac:dyDescent="0.25">
      <c r="A125" t="str">
        <f>Student_Master!A119</f>
        <v>STU0118</v>
      </c>
      <c r="B125" t="str">
        <f>Student_Master!B119</f>
        <v>Kavya Patil</v>
      </c>
      <c r="C125">
        <f>Student_Master!E119</f>
        <v>6.93</v>
      </c>
      <c r="D125">
        <f>Student_Master!H119</f>
        <v>0</v>
      </c>
      <c r="E125" t="str">
        <f>Student_Master!I119</f>
        <v>Data Analysis, Excel, SQL, Java</v>
      </c>
      <c r="F125" t="str">
        <f t="shared" si="2"/>
        <v>Not Eligible</v>
      </c>
      <c r="G125" t="str">
        <f t="shared" si="3"/>
        <v>CGPA below requirement</v>
      </c>
    </row>
    <row r="126" spans="1:7" x14ac:dyDescent="0.25">
      <c r="A126" t="str">
        <f>Student_Master!A120</f>
        <v>STU0119</v>
      </c>
      <c r="B126" t="str">
        <f>Student_Master!B120</f>
        <v>Rahul Singh</v>
      </c>
      <c r="C126">
        <f>Student_Master!E120</f>
        <v>8.08</v>
      </c>
      <c r="D126">
        <f>Student_Master!H120</f>
        <v>0</v>
      </c>
      <c r="E126" t="str">
        <f>Student_Master!I120</f>
        <v>Data Analysis, Power BI, SQL, React, Excel</v>
      </c>
      <c r="F126" t="str">
        <f t="shared" si="2"/>
        <v>Eligible</v>
      </c>
      <c r="G126" t="str">
        <f t="shared" si="3"/>
        <v>Eligible</v>
      </c>
    </row>
    <row r="127" spans="1:7" x14ac:dyDescent="0.25">
      <c r="A127" t="str">
        <f>Student_Master!A121</f>
        <v>STU0120</v>
      </c>
      <c r="B127" t="str">
        <f>Student_Master!B121</f>
        <v>Karan Kulkarni</v>
      </c>
      <c r="C127">
        <f>Student_Master!E121</f>
        <v>8.2100000000000009</v>
      </c>
      <c r="D127">
        <f>Student_Master!H121</f>
        <v>0</v>
      </c>
      <c r="E127" t="str">
        <f>Student_Master!I121</f>
        <v>React, Data Analysis, Git, SQL</v>
      </c>
      <c r="F127" t="str">
        <f t="shared" si="2"/>
        <v>Not Eligible</v>
      </c>
      <c r="G127" t="str">
        <f t="shared" si="3"/>
        <v>Required skill missing</v>
      </c>
    </row>
    <row r="128" spans="1:7" x14ac:dyDescent="0.25">
      <c r="A128" t="str">
        <f>Student_Master!A122</f>
        <v>STU0121</v>
      </c>
      <c r="B128" t="str">
        <f>Student_Master!B122</f>
        <v>Riya Hegde</v>
      </c>
      <c r="C128">
        <f>Student_Master!E122</f>
        <v>8.76</v>
      </c>
      <c r="D128">
        <f>Student_Master!H122</f>
        <v>1</v>
      </c>
      <c r="E128" t="str">
        <f>Student_Master!I122</f>
        <v>Git, Power BI, React, JavaScript, Excel</v>
      </c>
      <c r="F128" t="str">
        <f t="shared" si="2"/>
        <v>Not Eligible</v>
      </c>
      <c r="G128" t="str">
        <f t="shared" si="3"/>
        <v>Too many backlogs</v>
      </c>
    </row>
    <row r="129" spans="1:7" x14ac:dyDescent="0.25">
      <c r="A129" t="str">
        <f>Student_Master!A123</f>
        <v>STU0122</v>
      </c>
      <c r="B129" t="str">
        <f>Student_Master!B123</f>
        <v>Arjun Gupta</v>
      </c>
      <c r="C129">
        <f>Student_Master!E123</f>
        <v>7.7</v>
      </c>
      <c r="D129">
        <f>Student_Master!H123</f>
        <v>0</v>
      </c>
      <c r="E129" t="str">
        <f>Student_Master!I123</f>
        <v>Excel, React, Python</v>
      </c>
      <c r="F129" t="str">
        <f t="shared" si="2"/>
        <v>Not Eligible</v>
      </c>
      <c r="G129" t="str">
        <f t="shared" si="3"/>
        <v>Required skill missing</v>
      </c>
    </row>
    <row r="130" spans="1:7" x14ac:dyDescent="0.25">
      <c r="A130" t="str">
        <f>Student_Master!A124</f>
        <v>STU0123</v>
      </c>
      <c r="B130" t="str">
        <f>Student_Master!B124</f>
        <v>Suraj Patil</v>
      </c>
      <c r="C130">
        <f>Student_Master!E124</f>
        <v>9.59</v>
      </c>
      <c r="D130">
        <f>Student_Master!H124</f>
        <v>0</v>
      </c>
      <c r="E130" t="str">
        <f>Student_Master!I124</f>
        <v>JavaScript, Java, Git</v>
      </c>
      <c r="F130" t="str">
        <f t="shared" si="2"/>
        <v>Not Eligible</v>
      </c>
      <c r="G130" t="str">
        <f t="shared" si="3"/>
        <v>Required skill missing</v>
      </c>
    </row>
    <row r="131" spans="1:7" x14ac:dyDescent="0.25">
      <c r="A131" t="str">
        <f>Student_Master!A125</f>
        <v>STU0124</v>
      </c>
      <c r="B131" t="str">
        <f>Student_Master!B125</f>
        <v>Shreya Joshi</v>
      </c>
      <c r="C131">
        <f>Student_Master!E125</f>
        <v>6.63</v>
      </c>
      <c r="D131">
        <f>Student_Master!H125</f>
        <v>0</v>
      </c>
      <c r="E131" t="str">
        <f>Student_Master!I125</f>
        <v>Python, React, HTML/CSS, Power BI</v>
      </c>
      <c r="F131" t="str">
        <f t="shared" si="2"/>
        <v>Not Eligible</v>
      </c>
      <c r="G131" t="str">
        <f t="shared" si="3"/>
        <v>CGPA below requirement</v>
      </c>
    </row>
    <row r="132" spans="1:7" x14ac:dyDescent="0.25">
      <c r="A132" t="str">
        <f>Student_Master!A126</f>
        <v>STU0125</v>
      </c>
      <c r="B132" t="str">
        <f>Student_Master!B126</f>
        <v>Harsh Hegde</v>
      </c>
      <c r="C132">
        <f>Student_Master!E126</f>
        <v>9.6300000000000008</v>
      </c>
      <c r="D132">
        <f>Student_Master!H126</f>
        <v>2</v>
      </c>
      <c r="E132" t="str">
        <f>Student_Master!I126</f>
        <v>Power BI, Java, React, Python</v>
      </c>
      <c r="F132" t="str">
        <f t="shared" si="2"/>
        <v>Not Eligible</v>
      </c>
      <c r="G132" t="str">
        <f t="shared" si="3"/>
        <v>Too many backlogs</v>
      </c>
    </row>
    <row r="133" spans="1:7" x14ac:dyDescent="0.25">
      <c r="A133" t="str">
        <f>Student_Master!A127</f>
        <v>STU0126</v>
      </c>
      <c r="B133" t="str">
        <f>Student_Master!B127</f>
        <v>Harsh Gowda</v>
      </c>
      <c r="C133">
        <f>Student_Master!E127</f>
        <v>8.51</v>
      </c>
      <c r="D133">
        <f>Student_Master!H127</f>
        <v>1</v>
      </c>
      <c r="E133" t="str">
        <f>Student_Master!I127</f>
        <v>Power BI, Excel, Git</v>
      </c>
      <c r="F133" t="str">
        <f t="shared" si="2"/>
        <v>Not Eligible</v>
      </c>
      <c r="G133" t="str">
        <f t="shared" si="3"/>
        <v>Too many backlogs</v>
      </c>
    </row>
    <row r="134" spans="1:7" x14ac:dyDescent="0.25">
      <c r="A134" t="str">
        <f>Student_Master!A128</f>
        <v>STU0127</v>
      </c>
      <c r="B134" t="str">
        <f>Student_Master!B128</f>
        <v>Divya Gupta</v>
      </c>
      <c r="C134">
        <f>Student_Master!E128</f>
        <v>9.11</v>
      </c>
      <c r="D134">
        <f>Student_Master!H128</f>
        <v>0</v>
      </c>
      <c r="E134" t="str">
        <f>Student_Master!I128</f>
        <v>Git, Java</v>
      </c>
      <c r="F134" t="str">
        <f t="shared" si="2"/>
        <v>Not Eligible</v>
      </c>
      <c r="G134" t="str">
        <f t="shared" si="3"/>
        <v>Required skill missing</v>
      </c>
    </row>
    <row r="135" spans="1:7" x14ac:dyDescent="0.25">
      <c r="A135" t="str">
        <f>Student_Master!A129</f>
        <v>STU0128</v>
      </c>
      <c r="B135" t="str">
        <f>Student_Master!B129</f>
        <v>Nisha Nair</v>
      </c>
      <c r="C135">
        <f>Student_Master!E129</f>
        <v>7.45</v>
      </c>
      <c r="D135">
        <f>Student_Master!H129</f>
        <v>0</v>
      </c>
      <c r="E135" t="str">
        <f>Student_Master!I129</f>
        <v>Data Analysis, Python</v>
      </c>
      <c r="F135" t="str">
        <f t="shared" si="2"/>
        <v>Not Eligible</v>
      </c>
      <c r="G135" t="str">
        <f t="shared" si="3"/>
        <v>CGPA below requirement</v>
      </c>
    </row>
    <row r="136" spans="1:7" x14ac:dyDescent="0.25">
      <c r="A136" t="str">
        <f>Student_Master!A130</f>
        <v>STU0129</v>
      </c>
      <c r="B136" t="str">
        <f>Student_Master!B130</f>
        <v>Vikas Desai</v>
      </c>
      <c r="C136">
        <f>Student_Master!E130</f>
        <v>6.94</v>
      </c>
      <c r="D136">
        <f>Student_Master!H130</f>
        <v>0</v>
      </c>
      <c r="E136" t="str">
        <f>Student_Master!I130</f>
        <v>Data Analysis, Excel, Python</v>
      </c>
      <c r="F136" t="str">
        <f t="shared" si="2"/>
        <v>Not Eligible</v>
      </c>
      <c r="G136" t="str">
        <f t="shared" si="3"/>
        <v>CGPA below requirement</v>
      </c>
    </row>
    <row r="137" spans="1:7" x14ac:dyDescent="0.25">
      <c r="A137" t="str">
        <f>Student_Master!A131</f>
        <v>STU0130</v>
      </c>
      <c r="B137" t="str">
        <f>Student_Master!B131</f>
        <v>Rahul Verma</v>
      </c>
      <c r="C137">
        <f>Student_Master!E131</f>
        <v>9.5500000000000007</v>
      </c>
      <c r="D137">
        <f>Student_Master!H131</f>
        <v>1</v>
      </c>
      <c r="E137" t="str">
        <f>Student_Master!I131</f>
        <v>Power BI, SQL</v>
      </c>
      <c r="F137" t="str">
        <f t="shared" ref="F137:F200" si="4">IF(AND(C137&gt;=$E$3,D137&lt;=$E$4,ISNUMBER(SEARCH($E$5,E137))),"Eligible","Not Eligible")</f>
        <v>Not Eligible</v>
      </c>
      <c r="G137" t="str">
        <f t="shared" ref="G137:G200" si="5">IF(C137&lt;$E$3,"CGPA below requirement",IF(D137&gt;$E$4,"Too many backlogs",IF(NOT(ISNUMBER(SEARCH($E$5,E137))),"Required skill missing","Eligible")))</f>
        <v>Too many backlogs</v>
      </c>
    </row>
    <row r="138" spans="1:7" x14ac:dyDescent="0.25">
      <c r="A138" t="str">
        <f>Student_Master!A132</f>
        <v>STU0131</v>
      </c>
      <c r="B138" t="str">
        <f>Student_Master!B132</f>
        <v>Tanvi Nair</v>
      </c>
      <c r="C138">
        <f>Student_Master!E132</f>
        <v>9.1999999999999993</v>
      </c>
      <c r="D138">
        <f>Student_Master!H132</f>
        <v>0</v>
      </c>
      <c r="E138" t="str">
        <f>Student_Master!I132</f>
        <v>React, Power BI, Python</v>
      </c>
      <c r="F138" t="str">
        <f t="shared" si="4"/>
        <v>Eligible</v>
      </c>
      <c r="G138" t="str">
        <f t="shared" si="5"/>
        <v>Eligible</v>
      </c>
    </row>
    <row r="139" spans="1:7" x14ac:dyDescent="0.25">
      <c r="A139" t="str">
        <f>Student_Master!A133</f>
        <v>STU0132</v>
      </c>
      <c r="B139" t="str">
        <f>Student_Master!B133</f>
        <v>Aarav Joshi</v>
      </c>
      <c r="C139">
        <f>Student_Master!E133</f>
        <v>9.2200000000000006</v>
      </c>
      <c r="D139">
        <f>Student_Master!H133</f>
        <v>0</v>
      </c>
      <c r="E139" t="str">
        <f>Student_Master!I133</f>
        <v>JavaScript, SQL</v>
      </c>
      <c r="F139" t="str">
        <f t="shared" si="4"/>
        <v>Not Eligible</v>
      </c>
      <c r="G139" t="str">
        <f t="shared" si="5"/>
        <v>Required skill missing</v>
      </c>
    </row>
    <row r="140" spans="1:7" x14ac:dyDescent="0.25">
      <c r="A140" t="str">
        <f>Student_Master!A134</f>
        <v>STU0133</v>
      </c>
      <c r="B140" t="str">
        <f>Student_Master!B134</f>
        <v>Bhavana Desai</v>
      </c>
      <c r="C140">
        <f>Student_Master!E134</f>
        <v>7.59</v>
      </c>
      <c r="D140">
        <f>Student_Master!H134</f>
        <v>0</v>
      </c>
      <c r="E140" t="str">
        <f>Student_Master!I134</f>
        <v>Power BI, HTML/CSS</v>
      </c>
      <c r="F140" t="str">
        <f t="shared" si="4"/>
        <v>Eligible</v>
      </c>
      <c r="G140" t="str">
        <f t="shared" si="5"/>
        <v>Eligible</v>
      </c>
    </row>
    <row r="141" spans="1:7" x14ac:dyDescent="0.25">
      <c r="A141" t="str">
        <f>Student_Master!A135</f>
        <v>STU0134</v>
      </c>
      <c r="B141" t="str">
        <f>Student_Master!B135</f>
        <v>Sneha Mishra</v>
      </c>
      <c r="C141">
        <f>Student_Master!E135</f>
        <v>8.35</v>
      </c>
      <c r="D141">
        <f>Student_Master!H135</f>
        <v>0</v>
      </c>
      <c r="E141" t="str">
        <f>Student_Master!I135</f>
        <v>React, Python, Git</v>
      </c>
      <c r="F141" t="str">
        <f t="shared" si="4"/>
        <v>Not Eligible</v>
      </c>
      <c r="G141" t="str">
        <f t="shared" si="5"/>
        <v>Required skill missing</v>
      </c>
    </row>
    <row r="142" spans="1:7" x14ac:dyDescent="0.25">
      <c r="A142" t="str">
        <f>Student_Master!A136</f>
        <v>STU0135</v>
      </c>
      <c r="B142" t="str">
        <f>Student_Master!B136</f>
        <v>Aditi Mishra</v>
      </c>
      <c r="C142">
        <f>Student_Master!E136</f>
        <v>9.01</v>
      </c>
      <c r="D142">
        <f>Student_Master!H136</f>
        <v>0</v>
      </c>
      <c r="E142" t="str">
        <f>Student_Master!I136</f>
        <v>Data Analysis, React</v>
      </c>
      <c r="F142" t="str">
        <f t="shared" si="4"/>
        <v>Not Eligible</v>
      </c>
      <c r="G142" t="str">
        <f t="shared" si="5"/>
        <v>Required skill missing</v>
      </c>
    </row>
    <row r="143" spans="1:7" x14ac:dyDescent="0.25">
      <c r="A143" t="str">
        <f>Student_Master!A137</f>
        <v>STU0136</v>
      </c>
      <c r="B143" t="str">
        <f>Student_Master!B137</f>
        <v>Pooja Bhat</v>
      </c>
      <c r="C143">
        <f>Student_Master!E137</f>
        <v>7.95</v>
      </c>
      <c r="D143">
        <f>Student_Master!H137</f>
        <v>0</v>
      </c>
      <c r="E143" t="str">
        <f>Student_Master!I137</f>
        <v>Git, React, SQL</v>
      </c>
      <c r="F143" t="str">
        <f t="shared" si="4"/>
        <v>Not Eligible</v>
      </c>
      <c r="G143" t="str">
        <f t="shared" si="5"/>
        <v>Required skill missing</v>
      </c>
    </row>
    <row r="144" spans="1:7" x14ac:dyDescent="0.25">
      <c r="A144" t="str">
        <f>Student_Master!A138</f>
        <v>STU0137</v>
      </c>
      <c r="B144" t="str">
        <f>Student_Master!B138</f>
        <v>Rahul Patil</v>
      </c>
      <c r="C144">
        <f>Student_Master!E138</f>
        <v>6.03</v>
      </c>
      <c r="D144">
        <f>Student_Master!H138</f>
        <v>0</v>
      </c>
      <c r="E144" t="str">
        <f>Student_Master!I138</f>
        <v>Power BI, Excel, Java, Git, Data Analysis</v>
      </c>
      <c r="F144" t="str">
        <f t="shared" si="4"/>
        <v>Not Eligible</v>
      </c>
      <c r="G144" t="str">
        <f t="shared" si="5"/>
        <v>CGPA below requirement</v>
      </c>
    </row>
    <row r="145" spans="1:7" x14ac:dyDescent="0.25">
      <c r="A145" t="str">
        <f>Student_Master!A139</f>
        <v>STU0138</v>
      </c>
      <c r="B145" t="str">
        <f>Student_Master!B139</f>
        <v>Yash Mishra</v>
      </c>
      <c r="C145">
        <f>Student_Master!E139</f>
        <v>5.93</v>
      </c>
      <c r="D145">
        <f>Student_Master!H139</f>
        <v>0</v>
      </c>
      <c r="E145" t="str">
        <f>Student_Master!I139</f>
        <v>HTML/CSS, JavaScript, React, Data Analysis, Java</v>
      </c>
      <c r="F145" t="str">
        <f t="shared" si="4"/>
        <v>Not Eligible</v>
      </c>
      <c r="G145" t="str">
        <f t="shared" si="5"/>
        <v>CGPA below requirement</v>
      </c>
    </row>
    <row r="146" spans="1:7" x14ac:dyDescent="0.25">
      <c r="A146" t="str">
        <f>Student_Master!A140</f>
        <v>STU0139</v>
      </c>
      <c r="B146" t="str">
        <f>Student_Master!B140</f>
        <v>Rahul Desai</v>
      </c>
      <c r="C146">
        <f>Student_Master!E140</f>
        <v>9.24</v>
      </c>
      <c r="D146">
        <f>Student_Master!H140</f>
        <v>0</v>
      </c>
      <c r="E146" t="str">
        <f>Student_Master!I140</f>
        <v>Java, Excel, Data Analysis</v>
      </c>
      <c r="F146" t="str">
        <f t="shared" si="4"/>
        <v>Not Eligible</v>
      </c>
      <c r="G146" t="str">
        <f t="shared" si="5"/>
        <v>Required skill missing</v>
      </c>
    </row>
    <row r="147" spans="1:7" x14ac:dyDescent="0.25">
      <c r="A147" t="str">
        <f>Student_Master!A141</f>
        <v>STU0140</v>
      </c>
      <c r="B147" t="str">
        <f>Student_Master!B141</f>
        <v>Divya Nair</v>
      </c>
      <c r="C147">
        <f>Student_Master!E141</f>
        <v>7.64</v>
      </c>
      <c r="D147">
        <f>Student_Master!H141</f>
        <v>1</v>
      </c>
      <c r="E147" t="str">
        <f>Student_Master!I141</f>
        <v>Excel, JavaScript</v>
      </c>
      <c r="F147" t="str">
        <f t="shared" si="4"/>
        <v>Not Eligible</v>
      </c>
      <c r="G147" t="str">
        <f t="shared" si="5"/>
        <v>Too many backlogs</v>
      </c>
    </row>
    <row r="148" spans="1:7" x14ac:dyDescent="0.25">
      <c r="A148" t="str">
        <f>Student_Master!A142</f>
        <v>STU0141</v>
      </c>
      <c r="B148" t="str">
        <f>Student_Master!B142</f>
        <v>Arjun Verma</v>
      </c>
      <c r="C148">
        <f>Student_Master!E142</f>
        <v>8.18</v>
      </c>
      <c r="D148">
        <f>Student_Master!H142</f>
        <v>1</v>
      </c>
      <c r="E148" t="str">
        <f>Student_Master!I142</f>
        <v>Excel, JavaScript, React</v>
      </c>
      <c r="F148" t="str">
        <f t="shared" si="4"/>
        <v>Not Eligible</v>
      </c>
      <c r="G148" t="str">
        <f t="shared" si="5"/>
        <v>Too many backlogs</v>
      </c>
    </row>
    <row r="149" spans="1:7" x14ac:dyDescent="0.25">
      <c r="A149" t="str">
        <f>Student_Master!A143</f>
        <v>STU0142</v>
      </c>
      <c r="B149" t="str">
        <f>Student_Master!B143</f>
        <v>Riya Kulkarni</v>
      </c>
      <c r="C149">
        <f>Student_Master!E143</f>
        <v>9.06</v>
      </c>
      <c r="D149">
        <f>Student_Master!H143</f>
        <v>0</v>
      </c>
      <c r="E149" t="str">
        <f>Student_Master!I143</f>
        <v>Java, Power BI, Python, HTML/CSS</v>
      </c>
      <c r="F149" t="str">
        <f t="shared" si="4"/>
        <v>Eligible</v>
      </c>
      <c r="G149" t="str">
        <f t="shared" si="5"/>
        <v>Eligible</v>
      </c>
    </row>
    <row r="150" spans="1:7" x14ac:dyDescent="0.25">
      <c r="A150" t="str">
        <f>Student_Master!A144</f>
        <v>STU0143</v>
      </c>
      <c r="B150" t="str">
        <f>Student_Master!B144</f>
        <v>Divya Gupta</v>
      </c>
      <c r="C150">
        <f>Student_Master!E144</f>
        <v>7.78</v>
      </c>
      <c r="D150">
        <f>Student_Master!H144</f>
        <v>0</v>
      </c>
      <c r="E150" t="str">
        <f>Student_Master!I144</f>
        <v>JavaScript, Git, Python, React</v>
      </c>
      <c r="F150" t="str">
        <f t="shared" si="4"/>
        <v>Not Eligible</v>
      </c>
      <c r="G150" t="str">
        <f t="shared" si="5"/>
        <v>Required skill missing</v>
      </c>
    </row>
    <row r="151" spans="1:7" x14ac:dyDescent="0.25">
      <c r="A151" t="str">
        <f>Student_Master!A145</f>
        <v>STU0144</v>
      </c>
      <c r="B151" t="str">
        <f>Student_Master!B145</f>
        <v>Yash Singh</v>
      </c>
      <c r="C151">
        <f>Student_Master!E145</f>
        <v>9.02</v>
      </c>
      <c r="D151">
        <f>Student_Master!H145</f>
        <v>2</v>
      </c>
      <c r="E151" t="str">
        <f>Student_Master!I145</f>
        <v>JavaScript, Java, Power BI</v>
      </c>
      <c r="F151" t="str">
        <f t="shared" si="4"/>
        <v>Not Eligible</v>
      </c>
      <c r="G151" t="str">
        <f t="shared" si="5"/>
        <v>Too many backlogs</v>
      </c>
    </row>
    <row r="152" spans="1:7" x14ac:dyDescent="0.25">
      <c r="A152" t="str">
        <f>Student_Master!A146</f>
        <v>STU0145</v>
      </c>
      <c r="B152" t="str">
        <f>Student_Master!B146</f>
        <v>Rahul Nair</v>
      </c>
      <c r="C152">
        <f>Student_Master!E146</f>
        <v>8.6999999999999993</v>
      </c>
      <c r="D152">
        <f>Student_Master!H146</f>
        <v>0</v>
      </c>
      <c r="E152" t="str">
        <f>Student_Master!I146</f>
        <v>SQL, Java</v>
      </c>
      <c r="F152" t="str">
        <f t="shared" si="4"/>
        <v>Not Eligible</v>
      </c>
      <c r="G152" t="str">
        <f t="shared" si="5"/>
        <v>Required skill missing</v>
      </c>
    </row>
    <row r="153" spans="1:7" x14ac:dyDescent="0.25">
      <c r="A153" t="str">
        <f>Student_Master!A147</f>
        <v>STU0146</v>
      </c>
      <c r="B153" t="str">
        <f>Student_Master!B147</f>
        <v>Pranav Gupta</v>
      </c>
      <c r="C153">
        <f>Student_Master!E147</f>
        <v>9.2799999999999994</v>
      </c>
      <c r="D153">
        <f>Student_Master!H147</f>
        <v>0</v>
      </c>
      <c r="E153" t="str">
        <f>Student_Master!I147</f>
        <v>SQL, React, Java</v>
      </c>
      <c r="F153" t="str">
        <f t="shared" si="4"/>
        <v>Not Eligible</v>
      </c>
      <c r="G153" t="str">
        <f t="shared" si="5"/>
        <v>Required skill missing</v>
      </c>
    </row>
    <row r="154" spans="1:7" x14ac:dyDescent="0.25">
      <c r="A154" t="str">
        <f>Student_Master!A148</f>
        <v>STU0147</v>
      </c>
      <c r="B154" t="str">
        <f>Student_Master!B148</f>
        <v>Yash Gupta</v>
      </c>
      <c r="C154">
        <f>Student_Master!E148</f>
        <v>7.32</v>
      </c>
      <c r="D154">
        <f>Student_Master!H148</f>
        <v>0</v>
      </c>
      <c r="E154" t="str">
        <f>Student_Master!I148</f>
        <v>React, SQL, Git, JavaScript, Python</v>
      </c>
      <c r="F154" t="str">
        <f t="shared" si="4"/>
        <v>Not Eligible</v>
      </c>
      <c r="G154" t="str">
        <f t="shared" si="5"/>
        <v>CGPA below requirement</v>
      </c>
    </row>
    <row r="155" spans="1:7" x14ac:dyDescent="0.25">
      <c r="A155" t="str">
        <f>Student_Master!A149</f>
        <v>STU0148</v>
      </c>
      <c r="B155" t="str">
        <f>Student_Master!B149</f>
        <v>Rahul Kumar</v>
      </c>
      <c r="C155">
        <f>Student_Master!E149</f>
        <v>6.84</v>
      </c>
      <c r="D155">
        <f>Student_Master!H149</f>
        <v>0</v>
      </c>
      <c r="E155" t="str">
        <f>Student_Master!I149</f>
        <v>Java, HTML/CSS, Git</v>
      </c>
      <c r="F155" t="str">
        <f t="shared" si="4"/>
        <v>Not Eligible</v>
      </c>
      <c r="G155" t="str">
        <f t="shared" si="5"/>
        <v>CGPA below requirement</v>
      </c>
    </row>
    <row r="156" spans="1:7" x14ac:dyDescent="0.25">
      <c r="A156" t="str">
        <f>Student_Master!A150</f>
        <v>STU0149</v>
      </c>
      <c r="B156" t="str">
        <f>Student_Master!B150</f>
        <v>Pooja Patil</v>
      </c>
      <c r="C156">
        <f>Student_Master!E150</f>
        <v>9.67</v>
      </c>
      <c r="D156">
        <f>Student_Master!H150</f>
        <v>0</v>
      </c>
      <c r="E156" t="str">
        <f>Student_Master!I150</f>
        <v>Python, Git, React, SQL</v>
      </c>
      <c r="F156" t="str">
        <f t="shared" si="4"/>
        <v>Not Eligible</v>
      </c>
      <c r="G156" t="str">
        <f t="shared" si="5"/>
        <v>Required skill missing</v>
      </c>
    </row>
    <row r="157" spans="1:7" x14ac:dyDescent="0.25">
      <c r="A157" t="str">
        <f>Student_Master!A151</f>
        <v>STU0150</v>
      </c>
      <c r="B157" t="str">
        <f>Student_Master!B151</f>
        <v>Rohan Jain</v>
      </c>
      <c r="C157">
        <f>Student_Master!E151</f>
        <v>5.99</v>
      </c>
      <c r="D157">
        <f>Student_Master!H151</f>
        <v>0</v>
      </c>
      <c r="E157" t="str">
        <f>Student_Master!I151</f>
        <v>Python, Excel</v>
      </c>
      <c r="F157" t="str">
        <f t="shared" si="4"/>
        <v>Not Eligible</v>
      </c>
      <c r="G157" t="str">
        <f t="shared" si="5"/>
        <v>CGPA below requirement</v>
      </c>
    </row>
    <row r="158" spans="1:7" x14ac:dyDescent="0.25">
      <c r="A158" t="str">
        <f>Student_Master!A152</f>
        <v>STU0151</v>
      </c>
      <c r="B158" t="str">
        <f>Student_Master!B152</f>
        <v>Ananya Rao</v>
      </c>
      <c r="C158">
        <f>Student_Master!E152</f>
        <v>7.75</v>
      </c>
      <c r="D158">
        <f>Student_Master!H152</f>
        <v>0</v>
      </c>
      <c r="E158" t="str">
        <f>Student_Master!I152</f>
        <v>Data Analysis, Power BI, Excel, Git</v>
      </c>
      <c r="F158" t="str">
        <f t="shared" si="4"/>
        <v>Eligible</v>
      </c>
      <c r="G158" t="str">
        <f t="shared" si="5"/>
        <v>Eligible</v>
      </c>
    </row>
    <row r="159" spans="1:7" x14ac:dyDescent="0.25">
      <c r="A159" t="str">
        <f>Student_Master!A153</f>
        <v>STU0152</v>
      </c>
      <c r="B159" t="str">
        <f>Student_Master!B153</f>
        <v>Shreya Reddy</v>
      </c>
      <c r="C159">
        <f>Student_Master!E153</f>
        <v>6.57</v>
      </c>
      <c r="D159">
        <f>Student_Master!H153</f>
        <v>0</v>
      </c>
      <c r="E159" t="str">
        <f>Student_Master!I153</f>
        <v>SQL, HTML/CSS, JavaScript, Java, Power BI</v>
      </c>
      <c r="F159" t="str">
        <f t="shared" si="4"/>
        <v>Not Eligible</v>
      </c>
      <c r="G159" t="str">
        <f t="shared" si="5"/>
        <v>CGPA below requirement</v>
      </c>
    </row>
    <row r="160" spans="1:7" x14ac:dyDescent="0.25">
      <c r="A160" t="str">
        <f>Student_Master!A154</f>
        <v>STU0153</v>
      </c>
      <c r="B160" t="str">
        <f>Student_Master!B154</f>
        <v>Neha Verma</v>
      </c>
      <c r="C160">
        <f>Student_Master!E154</f>
        <v>7.42</v>
      </c>
      <c r="D160">
        <f>Student_Master!H154</f>
        <v>0</v>
      </c>
      <c r="E160" t="str">
        <f>Student_Master!I154</f>
        <v>SQL, React, JavaScript</v>
      </c>
      <c r="F160" t="str">
        <f t="shared" si="4"/>
        <v>Not Eligible</v>
      </c>
      <c r="G160" t="str">
        <f t="shared" si="5"/>
        <v>CGPA below requirement</v>
      </c>
    </row>
    <row r="161" spans="1:7" x14ac:dyDescent="0.25">
      <c r="A161" t="str">
        <f>Student_Master!A155</f>
        <v>STU0154</v>
      </c>
      <c r="B161" t="str">
        <f>Student_Master!B155</f>
        <v>Bhavana Kumar</v>
      </c>
      <c r="C161">
        <f>Student_Master!E155</f>
        <v>6.65</v>
      </c>
      <c r="D161">
        <f>Student_Master!H155</f>
        <v>0</v>
      </c>
      <c r="E161" t="str">
        <f>Student_Master!I155</f>
        <v>SQL, Power BI</v>
      </c>
      <c r="F161" t="str">
        <f t="shared" si="4"/>
        <v>Not Eligible</v>
      </c>
      <c r="G161" t="str">
        <f t="shared" si="5"/>
        <v>CGPA below requirement</v>
      </c>
    </row>
    <row r="162" spans="1:7" x14ac:dyDescent="0.25">
      <c r="A162" t="str">
        <f>Student_Master!A156</f>
        <v>STU0155</v>
      </c>
      <c r="B162" t="str">
        <f>Student_Master!B156</f>
        <v>Shreya Mishra</v>
      </c>
      <c r="C162">
        <f>Student_Master!E156</f>
        <v>8.15</v>
      </c>
      <c r="D162">
        <f>Student_Master!H156</f>
        <v>0</v>
      </c>
      <c r="E162" t="str">
        <f>Student_Master!I156</f>
        <v>Power BI, Python</v>
      </c>
      <c r="F162" t="str">
        <f t="shared" si="4"/>
        <v>Eligible</v>
      </c>
      <c r="G162" t="str">
        <f t="shared" si="5"/>
        <v>Eligible</v>
      </c>
    </row>
    <row r="163" spans="1:7" x14ac:dyDescent="0.25">
      <c r="A163" t="str">
        <f>Student_Master!A157</f>
        <v>STU0156</v>
      </c>
      <c r="B163" t="str">
        <f>Student_Master!B157</f>
        <v>Rohan Desai</v>
      </c>
      <c r="C163">
        <f>Student_Master!E157</f>
        <v>8.82</v>
      </c>
      <c r="D163">
        <f>Student_Master!H157</f>
        <v>0</v>
      </c>
      <c r="E163" t="str">
        <f>Student_Master!I157</f>
        <v>Excel, SQL, JavaScript, Data Analysis</v>
      </c>
      <c r="F163" t="str">
        <f t="shared" si="4"/>
        <v>Not Eligible</v>
      </c>
      <c r="G163" t="str">
        <f t="shared" si="5"/>
        <v>Required skill missing</v>
      </c>
    </row>
    <row r="164" spans="1:7" x14ac:dyDescent="0.25">
      <c r="A164" t="str">
        <f>Student_Master!A158</f>
        <v>STU0157</v>
      </c>
      <c r="B164" t="str">
        <f>Student_Master!B158</f>
        <v>Arjun Desai</v>
      </c>
      <c r="C164">
        <f>Student_Master!E158</f>
        <v>8.34</v>
      </c>
      <c r="D164">
        <f>Student_Master!H158</f>
        <v>0</v>
      </c>
      <c r="E164" t="str">
        <f>Student_Master!I158</f>
        <v>JavaScript, Python, Git, Excel, Power BI</v>
      </c>
      <c r="F164" t="str">
        <f t="shared" si="4"/>
        <v>Eligible</v>
      </c>
      <c r="G164" t="str">
        <f t="shared" si="5"/>
        <v>Eligible</v>
      </c>
    </row>
    <row r="165" spans="1:7" x14ac:dyDescent="0.25">
      <c r="A165" t="str">
        <f>Student_Master!A159</f>
        <v>STU0158</v>
      </c>
      <c r="B165" t="str">
        <f>Student_Master!B159</f>
        <v>Pooja Bhat</v>
      </c>
      <c r="C165">
        <f>Student_Master!E159</f>
        <v>7.36</v>
      </c>
      <c r="D165">
        <f>Student_Master!H159</f>
        <v>2</v>
      </c>
      <c r="E165" t="str">
        <f>Student_Master!I159</f>
        <v>HTML/CSS, Power BI, SQL, React, Excel</v>
      </c>
      <c r="F165" t="str">
        <f t="shared" si="4"/>
        <v>Not Eligible</v>
      </c>
      <c r="G165" t="str">
        <f t="shared" si="5"/>
        <v>CGPA below requirement</v>
      </c>
    </row>
    <row r="166" spans="1:7" x14ac:dyDescent="0.25">
      <c r="A166" t="str">
        <f>Student_Master!A160</f>
        <v>STU0159</v>
      </c>
      <c r="B166" t="str">
        <f>Student_Master!B160</f>
        <v>Riya Verma</v>
      </c>
      <c r="C166">
        <f>Student_Master!E160</f>
        <v>6.16</v>
      </c>
      <c r="D166">
        <f>Student_Master!H160</f>
        <v>1</v>
      </c>
      <c r="E166" t="str">
        <f>Student_Master!I160</f>
        <v>Excel, Power BI, JavaScript, Java, Git</v>
      </c>
      <c r="F166" t="str">
        <f t="shared" si="4"/>
        <v>Not Eligible</v>
      </c>
      <c r="G166" t="str">
        <f t="shared" si="5"/>
        <v>CGPA below requirement</v>
      </c>
    </row>
    <row r="167" spans="1:7" x14ac:dyDescent="0.25">
      <c r="A167" t="str">
        <f>Student_Master!A161</f>
        <v>STU0160</v>
      </c>
      <c r="B167" t="str">
        <f>Student_Master!B161</f>
        <v>Harsh Gupta</v>
      </c>
      <c r="C167">
        <f>Student_Master!E161</f>
        <v>7.32</v>
      </c>
      <c r="D167">
        <f>Student_Master!H161</f>
        <v>0</v>
      </c>
      <c r="E167" t="str">
        <f>Student_Master!I161</f>
        <v>Python, JavaScript</v>
      </c>
      <c r="F167" t="str">
        <f t="shared" si="4"/>
        <v>Not Eligible</v>
      </c>
      <c r="G167" t="str">
        <f t="shared" si="5"/>
        <v>CGPA below requirement</v>
      </c>
    </row>
    <row r="168" spans="1:7" x14ac:dyDescent="0.25">
      <c r="A168" t="str">
        <f>Student_Master!A162</f>
        <v>STU0161</v>
      </c>
      <c r="B168" t="str">
        <f>Student_Master!B162</f>
        <v>Rohan Shetty</v>
      </c>
      <c r="C168">
        <f>Student_Master!E162</f>
        <v>8.27</v>
      </c>
      <c r="D168">
        <f>Student_Master!H162</f>
        <v>0</v>
      </c>
      <c r="E168" t="str">
        <f>Student_Master!I162</f>
        <v>HTML/CSS, JavaScript, Git, Java, Python</v>
      </c>
      <c r="F168" t="str">
        <f t="shared" si="4"/>
        <v>Not Eligible</v>
      </c>
      <c r="G168" t="str">
        <f t="shared" si="5"/>
        <v>Required skill missing</v>
      </c>
    </row>
    <row r="169" spans="1:7" x14ac:dyDescent="0.25">
      <c r="A169" t="str">
        <f>Student_Master!A163</f>
        <v>STU0162</v>
      </c>
      <c r="B169" t="str">
        <f>Student_Master!B163</f>
        <v>Ananya Pillai</v>
      </c>
      <c r="C169">
        <f>Student_Master!E163</f>
        <v>8.2100000000000009</v>
      </c>
      <c r="D169">
        <f>Student_Master!H163</f>
        <v>0</v>
      </c>
      <c r="E169" t="str">
        <f>Student_Master!I163</f>
        <v>HTML/CSS, Power BI, React, Data Analysis, SQL</v>
      </c>
      <c r="F169" t="str">
        <f t="shared" si="4"/>
        <v>Eligible</v>
      </c>
      <c r="G169" t="str">
        <f t="shared" si="5"/>
        <v>Eligible</v>
      </c>
    </row>
    <row r="170" spans="1:7" x14ac:dyDescent="0.25">
      <c r="A170" t="str">
        <f>Student_Master!A164</f>
        <v>STU0163</v>
      </c>
      <c r="B170" t="str">
        <f>Student_Master!B164</f>
        <v>Shreya Gowda</v>
      </c>
      <c r="C170">
        <f>Student_Master!E164</f>
        <v>9.7899999999999991</v>
      </c>
      <c r="D170">
        <f>Student_Master!H164</f>
        <v>0</v>
      </c>
      <c r="E170" t="str">
        <f>Student_Master!I164</f>
        <v>Java, React, Power BI, JavaScript, HTML/CSS</v>
      </c>
      <c r="F170" t="str">
        <f t="shared" si="4"/>
        <v>Eligible</v>
      </c>
      <c r="G170" t="str">
        <f t="shared" si="5"/>
        <v>Eligible</v>
      </c>
    </row>
    <row r="171" spans="1:7" x14ac:dyDescent="0.25">
      <c r="A171" t="str">
        <f>Student_Master!A165</f>
        <v>STU0164</v>
      </c>
      <c r="B171" t="str">
        <f>Student_Master!B165</f>
        <v>Meera Mishra</v>
      </c>
      <c r="C171">
        <f>Student_Master!E165</f>
        <v>7.01</v>
      </c>
      <c r="D171">
        <f>Student_Master!H165</f>
        <v>0</v>
      </c>
      <c r="E171" t="str">
        <f>Student_Master!I165</f>
        <v>SQL, React, Data Analysis, Power BI, Java</v>
      </c>
      <c r="F171" t="str">
        <f t="shared" si="4"/>
        <v>Not Eligible</v>
      </c>
      <c r="G171" t="str">
        <f t="shared" si="5"/>
        <v>CGPA below requirement</v>
      </c>
    </row>
    <row r="172" spans="1:7" x14ac:dyDescent="0.25">
      <c r="A172" t="str">
        <f>Student_Master!A166</f>
        <v>STU0165</v>
      </c>
      <c r="B172" t="str">
        <f>Student_Master!B166</f>
        <v>Sanjay Desai</v>
      </c>
      <c r="C172">
        <f>Student_Master!E166</f>
        <v>8.61</v>
      </c>
      <c r="D172">
        <f>Student_Master!H166</f>
        <v>1</v>
      </c>
      <c r="E172" t="str">
        <f>Student_Master!I166</f>
        <v>Java, HTML/CSS</v>
      </c>
      <c r="F172" t="str">
        <f t="shared" si="4"/>
        <v>Not Eligible</v>
      </c>
      <c r="G172" t="str">
        <f t="shared" si="5"/>
        <v>Too many backlogs</v>
      </c>
    </row>
    <row r="173" spans="1:7" x14ac:dyDescent="0.25">
      <c r="A173" t="str">
        <f>Student_Master!A167</f>
        <v>STU0166</v>
      </c>
      <c r="B173" t="str">
        <f>Student_Master!B167</f>
        <v>Pooja Shetty</v>
      </c>
      <c r="C173">
        <f>Student_Master!E167</f>
        <v>6.22</v>
      </c>
      <c r="D173">
        <f>Student_Master!H167</f>
        <v>0</v>
      </c>
      <c r="E173" t="str">
        <f>Student_Master!I167</f>
        <v>React, HTML/CSS, JavaScript</v>
      </c>
      <c r="F173" t="str">
        <f t="shared" si="4"/>
        <v>Not Eligible</v>
      </c>
      <c r="G173" t="str">
        <f t="shared" si="5"/>
        <v>CGPA below requirement</v>
      </c>
    </row>
    <row r="174" spans="1:7" x14ac:dyDescent="0.25">
      <c r="A174" t="str">
        <f>Student_Master!A168</f>
        <v>STU0167</v>
      </c>
      <c r="B174" t="str">
        <f>Student_Master!B168</f>
        <v>Ananya Naik</v>
      </c>
      <c r="C174">
        <f>Student_Master!E168</f>
        <v>7.73</v>
      </c>
      <c r="D174">
        <f>Student_Master!H168</f>
        <v>0</v>
      </c>
      <c r="E174" t="str">
        <f>Student_Master!I168</f>
        <v>HTML/CSS, Power BI, Git</v>
      </c>
      <c r="F174" t="str">
        <f t="shared" si="4"/>
        <v>Eligible</v>
      </c>
      <c r="G174" t="str">
        <f t="shared" si="5"/>
        <v>Eligible</v>
      </c>
    </row>
    <row r="175" spans="1:7" x14ac:dyDescent="0.25">
      <c r="A175" t="str">
        <f>Student_Master!A169</f>
        <v>STU0168</v>
      </c>
      <c r="B175" t="str">
        <f>Student_Master!B169</f>
        <v>Nikhil Gupta</v>
      </c>
      <c r="C175">
        <f>Student_Master!E169</f>
        <v>6.07</v>
      </c>
      <c r="D175">
        <f>Student_Master!H169</f>
        <v>0</v>
      </c>
      <c r="E175" t="str">
        <f>Student_Master!I169</f>
        <v>SQL, Python, Java, Power BI</v>
      </c>
      <c r="F175" t="str">
        <f t="shared" si="4"/>
        <v>Not Eligible</v>
      </c>
      <c r="G175" t="str">
        <f t="shared" si="5"/>
        <v>CGPA below requirement</v>
      </c>
    </row>
    <row r="176" spans="1:7" x14ac:dyDescent="0.25">
      <c r="A176" t="str">
        <f>Student_Master!A170</f>
        <v>STU0169</v>
      </c>
      <c r="B176" t="str">
        <f>Student_Master!B170</f>
        <v>Varun Reddy</v>
      </c>
      <c r="C176">
        <f>Student_Master!E170</f>
        <v>6.54</v>
      </c>
      <c r="D176">
        <f>Student_Master!H170</f>
        <v>0</v>
      </c>
      <c r="E176" t="str">
        <f>Student_Master!I170</f>
        <v>React, JavaScript, Data Analysis</v>
      </c>
      <c r="F176" t="str">
        <f t="shared" si="4"/>
        <v>Not Eligible</v>
      </c>
      <c r="G176" t="str">
        <f t="shared" si="5"/>
        <v>CGPA below requirement</v>
      </c>
    </row>
    <row r="177" spans="1:7" x14ac:dyDescent="0.25">
      <c r="A177" t="str">
        <f>Student_Master!A171</f>
        <v>STU0170</v>
      </c>
      <c r="B177" t="str">
        <f>Student_Master!B171</f>
        <v>Bhavana Hegde</v>
      </c>
      <c r="C177">
        <f>Student_Master!E171</f>
        <v>6.55</v>
      </c>
      <c r="D177">
        <f>Student_Master!H171</f>
        <v>0</v>
      </c>
      <c r="E177" t="str">
        <f>Student_Master!I171</f>
        <v>Data Analysis, HTML/CSS, JavaScript, Power BI, Java</v>
      </c>
      <c r="F177" t="str">
        <f t="shared" si="4"/>
        <v>Not Eligible</v>
      </c>
      <c r="G177" t="str">
        <f t="shared" si="5"/>
        <v>CGPA below requirement</v>
      </c>
    </row>
    <row r="178" spans="1:7" x14ac:dyDescent="0.25">
      <c r="A178" t="str">
        <f>Student_Master!A172</f>
        <v>STU0171</v>
      </c>
      <c r="B178" t="str">
        <f>Student_Master!B172</f>
        <v>Bhavana Gowda</v>
      </c>
      <c r="C178">
        <f>Student_Master!E172</f>
        <v>6.34</v>
      </c>
      <c r="D178">
        <f>Student_Master!H172</f>
        <v>0</v>
      </c>
      <c r="E178" t="str">
        <f>Student_Master!I172</f>
        <v>Data Analysis, JavaScript, Git</v>
      </c>
      <c r="F178" t="str">
        <f t="shared" si="4"/>
        <v>Not Eligible</v>
      </c>
      <c r="G178" t="str">
        <f t="shared" si="5"/>
        <v>CGPA below requirement</v>
      </c>
    </row>
    <row r="179" spans="1:7" x14ac:dyDescent="0.25">
      <c r="A179" t="str">
        <f>Student_Master!A173</f>
        <v>STU0172</v>
      </c>
      <c r="B179" t="str">
        <f>Student_Master!B173</f>
        <v>Rahul Verma</v>
      </c>
      <c r="C179">
        <f>Student_Master!E173</f>
        <v>6.47</v>
      </c>
      <c r="D179">
        <f>Student_Master!H173</f>
        <v>1</v>
      </c>
      <c r="E179" t="str">
        <f>Student_Master!I173</f>
        <v>HTML/CSS, Excel</v>
      </c>
      <c r="F179" t="str">
        <f t="shared" si="4"/>
        <v>Not Eligible</v>
      </c>
      <c r="G179" t="str">
        <f t="shared" si="5"/>
        <v>CGPA below requirement</v>
      </c>
    </row>
    <row r="180" spans="1:7" x14ac:dyDescent="0.25">
      <c r="A180" t="str">
        <f>Student_Master!A174</f>
        <v>STU0173</v>
      </c>
      <c r="B180" t="str">
        <f>Student_Master!B174</f>
        <v>Rahul Hegde</v>
      </c>
      <c r="C180">
        <f>Student_Master!E174</f>
        <v>8.5399999999999991</v>
      </c>
      <c r="D180">
        <f>Student_Master!H174</f>
        <v>0</v>
      </c>
      <c r="E180" t="str">
        <f>Student_Master!I174</f>
        <v>Git, Excel</v>
      </c>
      <c r="F180" t="str">
        <f t="shared" si="4"/>
        <v>Not Eligible</v>
      </c>
      <c r="G180" t="str">
        <f t="shared" si="5"/>
        <v>Required skill missing</v>
      </c>
    </row>
    <row r="181" spans="1:7" x14ac:dyDescent="0.25">
      <c r="A181" t="str">
        <f>Student_Master!A175</f>
        <v>STU0174</v>
      </c>
      <c r="B181" t="str">
        <f>Student_Master!B175</f>
        <v>Tanvi Naik</v>
      </c>
      <c r="C181">
        <f>Student_Master!E175</f>
        <v>8.06</v>
      </c>
      <c r="D181">
        <f>Student_Master!H175</f>
        <v>0</v>
      </c>
      <c r="E181" t="str">
        <f>Student_Master!I175</f>
        <v>Power BI, Data Analysis</v>
      </c>
      <c r="F181" t="str">
        <f t="shared" si="4"/>
        <v>Eligible</v>
      </c>
      <c r="G181" t="str">
        <f t="shared" si="5"/>
        <v>Eligible</v>
      </c>
    </row>
    <row r="182" spans="1:7" x14ac:dyDescent="0.25">
      <c r="A182" t="str">
        <f>Student_Master!A176</f>
        <v>STU0175</v>
      </c>
      <c r="B182" t="str">
        <f>Student_Master!B176</f>
        <v>Yash Rao</v>
      </c>
      <c r="C182">
        <f>Student_Master!E176</f>
        <v>6.21</v>
      </c>
      <c r="D182">
        <f>Student_Master!H176</f>
        <v>0</v>
      </c>
      <c r="E182" t="str">
        <f>Student_Master!I176</f>
        <v>React, Power BI</v>
      </c>
      <c r="F182" t="str">
        <f t="shared" si="4"/>
        <v>Not Eligible</v>
      </c>
      <c r="G182" t="str">
        <f t="shared" si="5"/>
        <v>CGPA below requirement</v>
      </c>
    </row>
    <row r="183" spans="1:7" x14ac:dyDescent="0.25">
      <c r="A183" t="str">
        <f>Student_Master!A177</f>
        <v>STU0176</v>
      </c>
      <c r="B183" t="str">
        <f>Student_Master!B177</f>
        <v>Rahul Kulkarni</v>
      </c>
      <c r="C183">
        <f>Student_Master!E177</f>
        <v>9.0399999999999991</v>
      </c>
      <c r="D183">
        <f>Student_Master!H177</f>
        <v>0</v>
      </c>
      <c r="E183" t="str">
        <f>Student_Master!I177</f>
        <v>Python, Git, Java, JavaScript, SQL</v>
      </c>
      <c r="F183" t="str">
        <f t="shared" si="4"/>
        <v>Not Eligible</v>
      </c>
      <c r="G183" t="str">
        <f t="shared" si="5"/>
        <v>Required skill missing</v>
      </c>
    </row>
    <row r="184" spans="1:7" x14ac:dyDescent="0.25">
      <c r="A184" t="str">
        <f>Student_Master!A178</f>
        <v>STU0177</v>
      </c>
      <c r="B184" t="str">
        <f>Student_Master!B178</f>
        <v>Arjun Shetty</v>
      </c>
      <c r="C184">
        <f>Student_Master!E178</f>
        <v>6.96</v>
      </c>
      <c r="D184">
        <f>Student_Master!H178</f>
        <v>3</v>
      </c>
      <c r="E184" t="str">
        <f>Student_Master!I178</f>
        <v>Python, JavaScript</v>
      </c>
      <c r="F184" t="str">
        <f t="shared" si="4"/>
        <v>Not Eligible</v>
      </c>
      <c r="G184" t="str">
        <f t="shared" si="5"/>
        <v>CGPA below requirement</v>
      </c>
    </row>
    <row r="185" spans="1:7" x14ac:dyDescent="0.25">
      <c r="A185" t="str">
        <f>Student_Master!A179</f>
        <v>STU0178</v>
      </c>
      <c r="B185" t="str">
        <f>Student_Master!B179</f>
        <v>Manoj Verma</v>
      </c>
      <c r="C185">
        <f>Student_Master!E179</f>
        <v>8.65</v>
      </c>
      <c r="D185">
        <f>Student_Master!H179</f>
        <v>0</v>
      </c>
      <c r="E185" t="str">
        <f>Student_Master!I179</f>
        <v>Python, Power BI, JavaScript, Java, React</v>
      </c>
      <c r="F185" t="str">
        <f t="shared" si="4"/>
        <v>Eligible</v>
      </c>
      <c r="G185" t="str">
        <f t="shared" si="5"/>
        <v>Eligible</v>
      </c>
    </row>
    <row r="186" spans="1:7" x14ac:dyDescent="0.25">
      <c r="A186" t="str">
        <f>Student_Master!A180</f>
        <v>STU0179</v>
      </c>
      <c r="B186" t="str">
        <f>Student_Master!B180</f>
        <v>Deepak Bhat</v>
      </c>
      <c r="C186">
        <f>Student_Master!E180</f>
        <v>7.62</v>
      </c>
      <c r="D186">
        <f>Student_Master!H180</f>
        <v>1</v>
      </c>
      <c r="E186" t="str">
        <f>Student_Master!I180</f>
        <v>React, HTML/CSS</v>
      </c>
      <c r="F186" t="str">
        <f t="shared" si="4"/>
        <v>Not Eligible</v>
      </c>
      <c r="G186" t="str">
        <f t="shared" si="5"/>
        <v>Too many backlogs</v>
      </c>
    </row>
    <row r="187" spans="1:7" x14ac:dyDescent="0.25">
      <c r="A187" t="str">
        <f>Student_Master!A181</f>
        <v>STU0180</v>
      </c>
      <c r="B187" t="str">
        <f>Student_Master!B181</f>
        <v>Pranav Kulkarni</v>
      </c>
      <c r="C187">
        <f>Student_Master!E181</f>
        <v>6.87</v>
      </c>
      <c r="D187">
        <f>Student_Master!H181</f>
        <v>0</v>
      </c>
      <c r="E187" t="str">
        <f>Student_Master!I181</f>
        <v>HTML/CSS, Excel, Data Analysis, React, Git</v>
      </c>
      <c r="F187" t="str">
        <f t="shared" si="4"/>
        <v>Not Eligible</v>
      </c>
      <c r="G187" t="str">
        <f t="shared" si="5"/>
        <v>CGPA below requirement</v>
      </c>
    </row>
    <row r="188" spans="1:7" x14ac:dyDescent="0.25">
      <c r="A188" t="str">
        <f>Student_Master!A182</f>
        <v>STU0181</v>
      </c>
      <c r="B188" t="str">
        <f>Student_Master!B182</f>
        <v>Kavya Kulkarni</v>
      </c>
      <c r="C188">
        <f>Student_Master!E182</f>
        <v>5.8</v>
      </c>
      <c r="D188">
        <f>Student_Master!H182</f>
        <v>0</v>
      </c>
      <c r="E188" t="str">
        <f>Student_Master!I182</f>
        <v>Power BI, Python, Git</v>
      </c>
      <c r="F188" t="str">
        <f t="shared" si="4"/>
        <v>Not Eligible</v>
      </c>
      <c r="G188" t="str">
        <f t="shared" si="5"/>
        <v>CGPA below requirement</v>
      </c>
    </row>
    <row r="189" spans="1:7" x14ac:dyDescent="0.25">
      <c r="A189" t="str">
        <f>Student_Master!A183</f>
        <v>STU0182</v>
      </c>
      <c r="B189" t="str">
        <f>Student_Master!B183</f>
        <v>Shreya Naik</v>
      </c>
      <c r="C189">
        <f>Student_Master!E183</f>
        <v>8.3000000000000007</v>
      </c>
      <c r="D189">
        <f>Student_Master!H183</f>
        <v>0</v>
      </c>
      <c r="E189" t="str">
        <f>Student_Master!I183</f>
        <v>SQL, Excel</v>
      </c>
      <c r="F189" t="str">
        <f t="shared" si="4"/>
        <v>Not Eligible</v>
      </c>
      <c r="G189" t="str">
        <f t="shared" si="5"/>
        <v>Required skill missing</v>
      </c>
    </row>
    <row r="190" spans="1:7" x14ac:dyDescent="0.25">
      <c r="A190" t="str">
        <f>Student_Master!A184</f>
        <v>STU0183</v>
      </c>
      <c r="B190" t="str">
        <f>Student_Master!B184</f>
        <v>Ananya Kumar</v>
      </c>
      <c r="C190">
        <f>Student_Master!E184</f>
        <v>8.58</v>
      </c>
      <c r="D190">
        <f>Student_Master!H184</f>
        <v>0</v>
      </c>
      <c r="E190" t="str">
        <f>Student_Master!I184</f>
        <v>React, SQL, Java</v>
      </c>
      <c r="F190" t="str">
        <f t="shared" si="4"/>
        <v>Not Eligible</v>
      </c>
      <c r="G190" t="str">
        <f t="shared" si="5"/>
        <v>Required skill missing</v>
      </c>
    </row>
    <row r="191" spans="1:7" x14ac:dyDescent="0.25">
      <c r="A191" t="str">
        <f>Student_Master!A185</f>
        <v>STU0184</v>
      </c>
      <c r="B191" t="str">
        <f>Student_Master!B185</f>
        <v>Sanjay Shetty</v>
      </c>
      <c r="C191">
        <f>Student_Master!E185</f>
        <v>6.35</v>
      </c>
      <c r="D191">
        <f>Student_Master!H185</f>
        <v>0</v>
      </c>
      <c r="E191" t="str">
        <f>Student_Master!I185</f>
        <v>SQL, Data Analysis, Excel</v>
      </c>
      <c r="F191" t="str">
        <f t="shared" si="4"/>
        <v>Not Eligible</v>
      </c>
      <c r="G191" t="str">
        <f t="shared" si="5"/>
        <v>CGPA below requirement</v>
      </c>
    </row>
    <row r="192" spans="1:7" x14ac:dyDescent="0.25">
      <c r="A192" t="str">
        <f>Student_Master!A186</f>
        <v>STU0185</v>
      </c>
      <c r="B192" t="str">
        <f>Student_Master!B186</f>
        <v>Harsh Reddy</v>
      </c>
      <c r="C192">
        <f>Student_Master!E186</f>
        <v>8.5500000000000007</v>
      </c>
      <c r="D192">
        <f>Student_Master!H186</f>
        <v>0</v>
      </c>
      <c r="E192" t="str">
        <f>Student_Master!I186</f>
        <v>Git, JavaScript</v>
      </c>
      <c r="F192" t="str">
        <f t="shared" si="4"/>
        <v>Not Eligible</v>
      </c>
      <c r="G192" t="str">
        <f t="shared" si="5"/>
        <v>Required skill missing</v>
      </c>
    </row>
    <row r="193" spans="1:7" x14ac:dyDescent="0.25">
      <c r="A193" t="str">
        <f>Student_Master!A187</f>
        <v>STU0186</v>
      </c>
      <c r="B193" t="str">
        <f>Student_Master!B187</f>
        <v>Manoj Hegde</v>
      </c>
      <c r="C193">
        <f>Student_Master!E187</f>
        <v>8.1999999999999993</v>
      </c>
      <c r="D193">
        <f>Student_Master!H187</f>
        <v>2</v>
      </c>
      <c r="E193" t="str">
        <f>Student_Master!I187</f>
        <v>Power BI, Java</v>
      </c>
      <c r="F193" t="str">
        <f t="shared" si="4"/>
        <v>Not Eligible</v>
      </c>
      <c r="G193" t="str">
        <f t="shared" si="5"/>
        <v>Too many backlogs</v>
      </c>
    </row>
    <row r="194" spans="1:7" x14ac:dyDescent="0.25">
      <c r="A194" t="str">
        <f>Student_Master!A188</f>
        <v>STU0187</v>
      </c>
      <c r="B194" t="str">
        <f>Student_Master!B188</f>
        <v>Meera Singh</v>
      </c>
      <c r="C194">
        <f>Student_Master!E188</f>
        <v>7.78</v>
      </c>
      <c r="D194">
        <f>Student_Master!H188</f>
        <v>0</v>
      </c>
      <c r="E194" t="str">
        <f>Student_Master!I188</f>
        <v>HTML/CSS, Git</v>
      </c>
      <c r="F194" t="str">
        <f t="shared" si="4"/>
        <v>Not Eligible</v>
      </c>
      <c r="G194" t="str">
        <f t="shared" si="5"/>
        <v>Required skill missing</v>
      </c>
    </row>
    <row r="195" spans="1:7" x14ac:dyDescent="0.25">
      <c r="A195" t="str">
        <f>Student_Master!A189</f>
        <v>STU0188</v>
      </c>
      <c r="B195" t="str">
        <f>Student_Master!B189</f>
        <v>Meera Bhat</v>
      </c>
      <c r="C195">
        <f>Student_Master!E189</f>
        <v>9.6199999999999992</v>
      </c>
      <c r="D195">
        <f>Student_Master!H189</f>
        <v>0</v>
      </c>
      <c r="E195" t="str">
        <f>Student_Master!I189</f>
        <v>Java, Excel, Data Analysis, JavaScript</v>
      </c>
      <c r="F195" t="str">
        <f t="shared" si="4"/>
        <v>Not Eligible</v>
      </c>
      <c r="G195" t="str">
        <f t="shared" si="5"/>
        <v>Required skill missing</v>
      </c>
    </row>
    <row r="196" spans="1:7" x14ac:dyDescent="0.25">
      <c r="A196" t="str">
        <f>Student_Master!A190</f>
        <v>STU0189</v>
      </c>
      <c r="B196" t="str">
        <f>Student_Master!B190</f>
        <v>Sanjay Reddy</v>
      </c>
      <c r="C196">
        <f>Student_Master!E190</f>
        <v>8.36</v>
      </c>
      <c r="D196">
        <f>Student_Master!H190</f>
        <v>0</v>
      </c>
      <c r="E196" t="str">
        <f>Student_Master!I190</f>
        <v>Data Analysis, Java</v>
      </c>
      <c r="F196" t="str">
        <f t="shared" si="4"/>
        <v>Not Eligible</v>
      </c>
      <c r="G196" t="str">
        <f t="shared" si="5"/>
        <v>Required skill missing</v>
      </c>
    </row>
    <row r="197" spans="1:7" x14ac:dyDescent="0.25">
      <c r="A197" t="str">
        <f>Student_Master!A191</f>
        <v>STU0190</v>
      </c>
      <c r="B197" t="str">
        <f>Student_Master!B191</f>
        <v>Aarav Shetty</v>
      </c>
      <c r="C197">
        <f>Student_Master!E191</f>
        <v>8.7200000000000006</v>
      </c>
      <c r="D197">
        <f>Student_Master!H191</f>
        <v>0</v>
      </c>
      <c r="E197" t="str">
        <f>Student_Master!I191</f>
        <v>SQL, React, Excel, Python, HTML/CSS</v>
      </c>
      <c r="F197" t="str">
        <f t="shared" si="4"/>
        <v>Not Eligible</v>
      </c>
      <c r="G197" t="str">
        <f t="shared" si="5"/>
        <v>Required skill missing</v>
      </c>
    </row>
    <row r="198" spans="1:7" x14ac:dyDescent="0.25">
      <c r="A198" t="str">
        <f>Student_Master!A192</f>
        <v>STU0191</v>
      </c>
      <c r="B198" t="str">
        <f>Student_Master!B192</f>
        <v>Neha Sharma</v>
      </c>
      <c r="C198">
        <f>Student_Master!E192</f>
        <v>7.79</v>
      </c>
      <c r="D198">
        <f>Student_Master!H192</f>
        <v>1</v>
      </c>
      <c r="E198" t="str">
        <f>Student_Master!I192</f>
        <v>Python, HTML/CSS, Git, Data Analysis</v>
      </c>
      <c r="F198" t="str">
        <f t="shared" si="4"/>
        <v>Not Eligible</v>
      </c>
      <c r="G198" t="str">
        <f t="shared" si="5"/>
        <v>Too many backlogs</v>
      </c>
    </row>
    <row r="199" spans="1:7" x14ac:dyDescent="0.25">
      <c r="A199" t="str">
        <f>Student_Master!A193</f>
        <v>STU0192</v>
      </c>
      <c r="B199" t="str">
        <f>Student_Master!B193</f>
        <v>Kavya Kulkarni</v>
      </c>
      <c r="C199">
        <f>Student_Master!E193</f>
        <v>6.89</v>
      </c>
      <c r="D199">
        <f>Student_Master!H193</f>
        <v>0</v>
      </c>
      <c r="E199" t="str">
        <f>Student_Master!I193</f>
        <v>React, Git</v>
      </c>
      <c r="F199" t="str">
        <f t="shared" si="4"/>
        <v>Not Eligible</v>
      </c>
      <c r="G199" t="str">
        <f t="shared" si="5"/>
        <v>CGPA below requirement</v>
      </c>
    </row>
    <row r="200" spans="1:7" x14ac:dyDescent="0.25">
      <c r="A200" t="str">
        <f>Student_Master!A194</f>
        <v>STU0193</v>
      </c>
      <c r="B200" t="str">
        <f>Student_Master!B194</f>
        <v>Bhavana Patil</v>
      </c>
      <c r="C200">
        <f>Student_Master!E194</f>
        <v>9.3800000000000008</v>
      </c>
      <c r="D200">
        <f>Student_Master!H194</f>
        <v>0</v>
      </c>
      <c r="E200" t="str">
        <f>Student_Master!I194</f>
        <v>Excel, Git</v>
      </c>
      <c r="F200" t="str">
        <f t="shared" si="4"/>
        <v>Not Eligible</v>
      </c>
      <c r="G200" t="str">
        <f t="shared" si="5"/>
        <v>Required skill missing</v>
      </c>
    </row>
    <row r="201" spans="1:7" x14ac:dyDescent="0.25">
      <c r="A201" t="str">
        <f>Student_Master!A195</f>
        <v>STU0194</v>
      </c>
      <c r="B201" t="str">
        <f>Student_Master!B195</f>
        <v>Bhavana Gupta</v>
      </c>
      <c r="C201">
        <f>Student_Master!E195</f>
        <v>7.09</v>
      </c>
      <c r="D201">
        <f>Student_Master!H195</f>
        <v>0</v>
      </c>
      <c r="E201" t="str">
        <f>Student_Master!I195</f>
        <v>Git, HTML/CSS</v>
      </c>
      <c r="F201" t="str">
        <f t="shared" ref="F201:F264" si="6">IF(AND(C201&gt;=$E$3,D201&lt;=$E$4,ISNUMBER(SEARCH($E$5,E201))),"Eligible","Not Eligible")</f>
        <v>Not Eligible</v>
      </c>
      <c r="G201" t="str">
        <f t="shared" ref="G201:G264" si="7">IF(C201&lt;$E$3,"CGPA below requirement",IF(D201&gt;$E$4,"Too many backlogs",IF(NOT(ISNUMBER(SEARCH($E$5,E201))),"Required skill missing","Eligible")))</f>
        <v>CGPA below requirement</v>
      </c>
    </row>
    <row r="202" spans="1:7" x14ac:dyDescent="0.25">
      <c r="A202" t="str">
        <f>Student_Master!A196</f>
        <v>STU0195</v>
      </c>
      <c r="B202" t="str">
        <f>Student_Master!B196</f>
        <v>Suraj Jain</v>
      </c>
      <c r="C202">
        <f>Student_Master!E196</f>
        <v>6.08</v>
      </c>
      <c r="D202">
        <f>Student_Master!H196</f>
        <v>1</v>
      </c>
      <c r="E202" t="str">
        <f>Student_Master!I196</f>
        <v>SQL, Data Analysis, React, Excel</v>
      </c>
      <c r="F202" t="str">
        <f t="shared" si="6"/>
        <v>Not Eligible</v>
      </c>
      <c r="G202" t="str">
        <f t="shared" si="7"/>
        <v>CGPA below requirement</v>
      </c>
    </row>
    <row r="203" spans="1:7" x14ac:dyDescent="0.25">
      <c r="A203" t="str">
        <f>Student_Master!A197</f>
        <v>STU0196</v>
      </c>
      <c r="B203" t="str">
        <f>Student_Master!B197</f>
        <v>Vikas Sharma</v>
      </c>
      <c r="C203">
        <f>Student_Master!E197</f>
        <v>7.27</v>
      </c>
      <c r="D203">
        <f>Student_Master!H197</f>
        <v>0</v>
      </c>
      <c r="E203" t="str">
        <f>Student_Master!I197</f>
        <v>Python, Excel, JavaScript</v>
      </c>
      <c r="F203" t="str">
        <f t="shared" si="6"/>
        <v>Not Eligible</v>
      </c>
      <c r="G203" t="str">
        <f t="shared" si="7"/>
        <v>CGPA below requirement</v>
      </c>
    </row>
    <row r="204" spans="1:7" x14ac:dyDescent="0.25">
      <c r="A204" t="str">
        <f>Student_Master!A198</f>
        <v>STU0197</v>
      </c>
      <c r="B204" t="str">
        <f>Student_Master!B198</f>
        <v>Akash Patil</v>
      </c>
      <c r="C204">
        <f>Student_Master!E198</f>
        <v>8.84</v>
      </c>
      <c r="D204">
        <f>Student_Master!H198</f>
        <v>0</v>
      </c>
      <c r="E204" t="str">
        <f>Student_Master!I198</f>
        <v>Data Analysis, Java, JavaScript</v>
      </c>
      <c r="F204" t="str">
        <f t="shared" si="6"/>
        <v>Not Eligible</v>
      </c>
      <c r="G204" t="str">
        <f t="shared" si="7"/>
        <v>Required skill missing</v>
      </c>
    </row>
    <row r="205" spans="1:7" x14ac:dyDescent="0.25">
      <c r="A205" t="str">
        <f>Student_Master!A199</f>
        <v>STU0198</v>
      </c>
      <c r="B205" t="str">
        <f>Student_Master!B199</f>
        <v>Meera Shetty</v>
      </c>
      <c r="C205">
        <f>Student_Master!E199</f>
        <v>7.45</v>
      </c>
      <c r="D205">
        <f>Student_Master!H199</f>
        <v>0</v>
      </c>
      <c r="E205" t="str">
        <f>Student_Master!I199</f>
        <v>Data Analysis, Python</v>
      </c>
      <c r="F205" t="str">
        <f t="shared" si="6"/>
        <v>Not Eligible</v>
      </c>
      <c r="G205" t="str">
        <f t="shared" si="7"/>
        <v>CGPA below requirement</v>
      </c>
    </row>
    <row r="206" spans="1:7" x14ac:dyDescent="0.25">
      <c r="A206" t="str">
        <f>Student_Master!A200</f>
        <v>STU0199</v>
      </c>
      <c r="B206" t="str">
        <f>Student_Master!B200</f>
        <v>Ananya Shetty</v>
      </c>
      <c r="C206">
        <f>Student_Master!E200</f>
        <v>6.84</v>
      </c>
      <c r="D206">
        <f>Student_Master!H200</f>
        <v>0</v>
      </c>
      <c r="E206" t="str">
        <f>Student_Master!I200</f>
        <v>HTML/CSS, React, Power BI, SQL</v>
      </c>
      <c r="F206" t="str">
        <f t="shared" si="6"/>
        <v>Not Eligible</v>
      </c>
      <c r="G206" t="str">
        <f t="shared" si="7"/>
        <v>CGPA below requirement</v>
      </c>
    </row>
    <row r="207" spans="1:7" x14ac:dyDescent="0.25">
      <c r="A207" t="str">
        <f>Student_Master!A201</f>
        <v>STU0200</v>
      </c>
      <c r="B207" t="str">
        <f>Student_Master!B201</f>
        <v>Ishita Jain</v>
      </c>
      <c r="C207">
        <f>Student_Master!E201</f>
        <v>7.6</v>
      </c>
      <c r="D207">
        <f>Student_Master!H201</f>
        <v>0</v>
      </c>
      <c r="E207" t="str">
        <f>Student_Master!I201</f>
        <v>React, Power BI, Git</v>
      </c>
      <c r="F207" t="str">
        <f t="shared" si="6"/>
        <v>Eligible</v>
      </c>
      <c r="G207" t="str">
        <f t="shared" si="7"/>
        <v>Eligible</v>
      </c>
    </row>
    <row r="208" spans="1:7" x14ac:dyDescent="0.25">
      <c r="A208" t="str">
        <f>Student_Master!A202</f>
        <v>STU0201</v>
      </c>
      <c r="B208" t="str">
        <f>Student_Master!B202</f>
        <v>Aarav Desai</v>
      </c>
      <c r="C208">
        <f>Student_Master!E202</f>
        <v>9.14</v>
      </c>
      <c r="D208">
        <f>Student_Master!H202</f>
        <v>0</v>
      </c>
      <c r="E208" t="str">
        <f>Student_Master!I202</f>
        <v>JavaScript, Data Analysis, Excel, HTML/CSS</v>
      </c>
      <c r="F208" t="str">
        <f t="shared" si="6"/>
        <v>Not Eligible</v>
      </c>
      <c r="G208" t="str">
        <f t="shared" si="7"/>
        <v>Required skill missing</v>
      </c>
    </row>
    <row r="209" spans="1:7" x14ac:dyDescent="0.25">
      <c r="A209" t="str">
        <f>Student_Master!A203</f>
        <v>STU0202</v>
      </c>
      <c r="B209" t="str">
        <f>Student_Master!B203</f>
        <v>Deepak Desai</v>
      </c>
      <c r="C209">
        <f>Student_Master!E203</f>
        <v>8.7899999999999991</v>
      </c>
      <c r="D209">
        <f>Student_Master!H203</f>
        <v>1</v>
      </c>
      <c r="E209" t="str">
        <f>Student_Master!I203</f>
        <v>SQL, Excel, Data Analysis</v>
      </c>
      <c r="F209" t="str">
        <f t="shared" si="6"/>
        <v>Not Eligible</v>
      </c>
      <c r="G209" t="str">
        <f t="shared" si="7"/>
        <v>Too many backlogs</v>
      </c>
    </row>
    <row r="210" spans="1:7" x14ac:dyDescent="0.25">
      <c r="A210" t="str">
        <f>Student_Master!A204</f>
        <v>STU0203</v>
      </c>
      <c r="B210" t="str">
        <f>Student_Master!B204</f>
        <v>Karan Rao</v>
      </c>
      <c r="C210">
        <f>Student_Master!E204</f>
        <v>8.1300000000000008</v>
      </c>
      <c r="D210">
        <f>Student_Master!H204</f>
        <v>0</v>
      </c>
      <c r="E210" t="str">
        <f>Student_Master!I204</f>
        <v>Java, React</v>
      </c>
      <c r="F210" t="str">
        <f t="shared" si="6"/>
        <v>Not Eligible</v>
      </c>
      <c r="G210" t="str">
        <f t="shared" si="7"/>
        <v>Required skill missing</v>
      </c>
    </row>
    <row r="211" spans="1:7" x14ac:dyDescent="0.25">
      <c r="A211" t="str">
        <f>Student_Master!A205</f>
        <v>STU0204</v>
      </c>
      <c r="B211" t="str">
        <f>Student_Master!B205</f>
        <v>Arjun Patil</v>
      </c>
      <c r="C211">
        <f>Student_Master!E205</f>
        <v>6</v>
      </c>
      <c r="D211">
        <f>Student_Master!H205</f>
        <v>0</v>
      </c>
      <c r="E211" t="str">
        <f>Student_Master!I205</f>
        <v>Excel, JavaScript, Data Analysis, SQL, Python</v>
      </c>
      <c r="F211" t="str">
        <f t="shared" si="6"/>
        <v>Not Eligible</v>
      </c>
      <c r="G211" t="str">
        <f t="shared" si="7"/>
        <v>CGPA below requirement</v>
      </c>
    </row>
    <row r="212" spans="1:7" x14ac:dyDescent="0.25">
      <c r="A212" t="str">
        <f>Student_Master!A206</f>
        <v>STU0205</v>
      </c>
      <c r="B212" t="str">
        <f>Student_Master!B206</f>
        <v>Sanjay Mishra</v>
      </c>
      <c r="C212">
        <f>Student_Master!E206</f>
        <v>6.98</v>
      </c>
      <c r="D212">
        <f>Student_Master!H206</f>
        <v>0</v>
      </c>
      <c r="E212" t="str">
        <f>Student_Master!I206</f>
        <v>JavaScript, Python, Git, SQL</v>
      </c>
      <c r="F212" t="str">
        <f t="shared" si="6"/>
        <v>Not Eligible</v>
      </c>
      <c r="G212" t="str">
        <f t="shared" si="7"/>
        <v>CGPA below requirement</v>
      </c>
    </row>
    <row r="213" spans="1:7" x14ac:dyDescent="0.25">
      <c r="A213" t="str">
        <f>Student_Master!A207</f>
        <v>STU0206</v>
      </c>
      <c r="B213" t="str">
        <f>Student_Master!B207</f>
        <v>Harsh Patil</v>
      </c>
      <c r="C213">
        <f>Student_Master!E207</f>
        <v>8.93</v>
      </c>
      <c r="D213">
        <f>Student_Master!H207</f>
        <v>0</v>
      </c>
      <c r="E213" t="str">
        <f>Student_Master!I207</f>
        <v>JavaScript, Power BI, Python, Excel</v>
      </c>
      <c r="F213" t="str">
        <f t="shared" si="6"/>
        <v>Eligible</v>
      </c>
      <c r="G213" t="str">
        <f t="shared" si="7"/>
        <v>Eligible</v>
      </c>
    </row>
    <row r="214" spans="1:7" x14ac:dyDescent="0.25">
      <c r="A214" t="str">
        <f>Student_Master!A208</f>
        <v>STU0207</v>
      </c>
      <c r="B214" t="str">
        <f>Student_Master!B208</f>
        <v>Yash Desai</v>
      </c>
      <c r="C214">
        <f>Student_Master!E208</f>
        <v>7.23</v>
      </c>
      <c r="D214">
        <f>Student_Master!H208</f>
        <v>0</v>
      </c>
      <c r="E214" t="str">
        <f>Student_Master!I208</f>
        <v>Java, Power BI, Excel</v>
      </c>
      <c r="F214" t="str">
        <f t="shared" si="6"/>
        <v>Not Eligible</v>
      </c>
      <c r="G214" t="str">
        <f t="shared" si="7"/>
        <v>CGPA below requirement</v>
      </c>
    </row>
    <row r="215" spans="1:7" x14ac:dyDescent="0.25">
      <c r="A215" t="str">
        <f>Student_Master!A209</f>
        <v>STU0208</v>
      </c>
      <c r="B215" t="str">
        <f>Student_Master!B209</f>
        <v>Nisha Mishra</v>
      </c>
      <c r="C215">
        <f>Student_Master!E209</f>
        <v>6.5</v>
      </c>
      <c r="D215">
        <f>Student_Master!H209</f>
        <v>0</v>
      </c>
      <c r="E215" t="str">
        <f>Student_Master!I209</f>
        <v>HTML/CSS, Python</v>
      </c>
      <c r="F215" t="str">
        <f t="shared" si="6"/>
        <v>Not Eligible</v>
      </c>
      <c r="G215" t="str">
        <f t="shared" si="7"/>
        <v>CGPA below requirement</v>
      </c>
    </row>
    <row r="216" spans="1:7" x14ac:dyDescent="0.25">
      <c r="A216" t="str">
        <f>Student_Master!A210</f>
        <v>STU0209</v>
      </c>
      <c r="B216" t="str">
        <f>Student_Master!B210</f>
        <v>Karan Patil</v>
      </c>
      <c r="C216">
        <f>Student_Master!E210</f>
        <v>7.76</v>
      </c>
      <c r="D216">
        <f>Student_Master!H210</f>
        <v>0</v>
      </c>
      <c r="E216" t="str">
        <f>Student_Master!I210</f>
        <v>Excel, HTML/CSS, Java, JavaScript, SQL</v>
      </c>
      <c r="F216" t="str">
        <f t="shared" si="6"/>
        <v>Not Eligible</v>
      </c>
      <c r="G216" t="str">
        <f t="shared" si="7"/>
        <v>Required skill missing</v>
      </c>
    </row>
    <row r="217" spans="1:7" x14ac:dyDescent="0.25">
      <c r="A217" t="str">
        <f>Student_Master!A211</f>
        <v>STU0210</v>
      </c>
      <c r="B217" t="str">
        <f>Student_Master!B211</f>
        <v>Suraj Bhat</v>
      </c>
      <c r="C217">
        <f>Student_Master!E211</f>
        <v>8.15</v>
      </c>
      <c r="D217">
        <f>Student_Master!H211</f>
        <v>1</v>
      </c>
      <c r="E217" t="str">
        <f>Student_Master!I211</f>
        <v>SQL, HTML/CSS, JavaScript, Power BI</v>
      </c>
      <c r="F217" t="str">
        <f t="shared" si="6"/>
        <v>Not Eligible</v>
      </c>
      <c r="G217" t="str">
        <f t="shared" si="7"/>
        <v>Too many backlogs</v>
      </c>
    </row>
    <row r="218" spans="1:7" x14ac:dyDescent="0.25">
      <c r="A218" t="str">
        <f>Student_Master!A212</f>
        <v>STU0211</v>
      </c>
      <c r="B218" t="str">
        <f>Student_Master!B212</f>
        <v>Suraj Sharma</v>
      </c>
      <c r="C218">
        <f>Student_Master!E212</f>
        <v>7.07</v>
      </c>
      <c r="D218">
        <f>Student_Master!H212</f>
        <v>1</v>
      </c>
      <c r="E218" t="str">
        <f>Student_Master!I212</f>
        <v>Java, Python, JavaScript, Data Analysis</v>
      </c>
      <c r="F218" t="str">
        <f t="shared" si="6"/>
        <v>Not Eligible</v>
      </c>
      <c r="G218" t="str">
        <f t="shared" si="7"/>
        <v>CGPA below requirement</v>
      </c>
    </row>
    <row r="219" spans="1:7" x14ac:dyDescent="0.25">
      <c r="A219" t="str">
        <f>Student_Master!A213</f>
        <v>STU0212</v>
      </c>
      <c r="B219" t="str">
        <f>Student_Master!B213</f>
        <v>Kavya Kumar</v>
      </c>
      <c r="C219">
        <f>Student_Master!E213</f>
        <v>7.76</v>
      </c>
      <c r="D219">
        <f>Student_Master!H213</f>
        <v>2</v>
      </c>
      <c r="E219" t="str">
        <f>Student_Master!I213</f>
        <v>Git, SQL, React</v>
      </c>
      <c r="F219" t="str">
        <f t="shared" si="6"/>
        <v>Not Eligible</v>
      </c>
      <c r="G219" t="str">
        <f t="shared" si="7"/>
        <v>Too many backlogs</v>
      </c>
    </row>
    <row r="220" spans="1:7" x14ac:dyDescent="0.25">
      <c r="A220" t="str">
        <f>Student_Master!A214</f>
        <v>STU0213</v>
      </c>
      <c r="B220" t="str">
        <f>Student_Master!B214</f>
        <v>Suraj Sharma</v>
      </c>
      <c r="C220">
        <f>Student_Master!E214</f>
        <v>9.34</v>
      </c>
      <c r="D220">
        <f>Student_Master!H214</f>
        <v>0</v>
      </c>
      <c r="E220" t="str">
        <f>Student_Master!I214</f>
        <v>React, Excel, Power BI, SQL</v>
      </c>
      <c r="F220" t="str">
        <f t="shared" si="6"/>
        <v>Eligible</v>
      </c>
      <c r="G220" t="str">
        <f t="shared" si="7"/>
        <v>Eligible</v>
      </c>
    </row>
    <row r="221" spans="1:7" x14ac:dyDescent="0.25">
      <c r="A221" t="str">
        <f>Student_Master!A215</f>
        <v>STU0214</v>
      </c>
      <c r="B221" t="str">
        <f>Student_Master!B215</f>
        <v>Divya Kulkarni</v>
      </c>
      <c r="C221">
        <f>Student_Master!E215</f>
        <v>7.55</v>
      </c>
      <c r="D221">
        <f>Student_Master!H215</f>
        <v>0</v>
      </c>
      <c r="E221" t="str">
        <f>Student_Master!I215</f>
        <v>HTML/CSS, Data Analysis, JavaScript, Excel, Java</v>
      </c>
      <c r="F221" t="str">
        <f t="shared" si="6"/>
        <v>Not Eligible</v>
      </c>
      <c r="G221" t="str">
        <f t="shared" si="7"/>
        <v>Required skill missing</v>
      </c>
    </row>
    <row r="222" spans="1:7" x14ac:dyDescent="0.25">
      <c r="A222" t="str">
        <f>Student_Master!A216</f>
        <v>STU0215</v>
      </c>
      <c r="B222" t="str">
        <f>Student_Master!B216</f>
        <v>Neha Reddy</v>
      </c>
      <c r="C222">
        <f>Student_Master!E216</f>
        <v>9</v>
      </c>
      <c r="D222">
        <f>Student_Master!H216</f>
        <v>0</v>
      </c>
      <c r="E222" t="str">
        <f>Student_Master!I216</f>
        <v>SQL, HTML/CSS</v>
      </c>
      <c r="F222" t="str">
        <f t="shared" si="6"/>
        <v>Not Eligible</v>
      </c>
      <c r="G222" t="str">
        <f t="shared" si="7"/>
        <v>Required skill missing</v>
      </c>
    </row>
    <row r="223" spans="1:7" x14ac:dyDescent="0.25">
      <c r="A223" t="str">
        <f>Student_Master!A217</f>
        <v>STU0216</v>
      </c>
      <c r="B223" t="str">
        <f>Student_Master!B217</f>
        <v>Suraj Mishra</v>
      </c>
      <c r="C223">
        <f>Student_Master!E217</f>
        <v>8.6199999999999992</v>
      </c>
      <c r="D223">
        <f>Student_Master!H217</f>
        <v>0</v>
      </c>
      <c r="E223" t="str">
        <f>Student_Master!I217</f>
        <v>Python, Excel, SQL, Git, React</v>
      </c>
      <c r="F223" t="str">
        <f t="shared" si="6"/>
        <v>Not Eligible</v>
      </c>
      <c r="G223" t="str">
        <f t="shared" si="7"/>
        <v>Required skill missing</v>
      </c>
    </row>
    <row r="224" spans="1:7" x14ac:dyDescent="0.25">
      <c r="A224" t="str">
        <f>Student_Master!A218</f>
        <v>STU0217</v>
      </c>
      <c r="B224" t="str">
        <f>Student_Master!B218</f>
        <v>Rohan Gowda</v>
      </c>
      <c r="C224">
        <f>Student_Master!E218</f>
        <v>6.99</v>
      </c>
      <c r="D224">
        <f>Student_Master!H218</f>
        <v>0</v>
      </c>
      <c r="E224" t="str">
        <f>Student_Master!I218</f>
        <v>Python, Excel, HTML/CSS, Data Analysis, Java</v>
      </c>
      <c r="F224" t="str">
        <f t="shared" si="6"/>
        <v>Not Eligible</v>
      </c>
      <c r="G224" t="str">
        <f t="shared" si="7"/>
        <v>CGPA below requirement</v>
      </c>
    </row>
    <row r="225" spans="1:7" x14ac:dyDescent="0.25">
      <c r="A225" t="str">
        <f>Student_Master!A219</f>
        <v>STU0218</v>
      </c>
      <c r="B225" t="str">
        <f>Student_Master!B219</f>
        <v>Akash Mishra</v>
      </c>
      <c r="C225">
        <f>Student_Master!E219</f>
        <v>7.76</v>
      </c>
      <c r="D225">
        <f>Student_Master!H219</f>
        <v>0</v>
      </c>
      <c r="E225" t="str">
        <f>Student_Master!I219</f>
        <v>Power BI, JavaScript</v>
      </c>
      <c r="F225" t="str">
        <f t="shared" si="6"/>
        <v>Eligible</v>
      </c>
      <c r="G225" t="str">
        <f t="shared" si="7"/>
        <v>Eligible</v>
      </c>
    </row>
    <row r="226" spans="1:7" x14ac:dyDescent="0.25">
      <c r="A226" t="str">
        <f>Student_Master!A220</f>
        <v>STU0219</v>
      </c>
      <c r="B226" t="str">
        <f>Student_Master!B220</f>
        <v>Akash Singh</v>
      </c>
      <c r="C226">
        <f>Student_Master!E220</f>
        <v>7.28</v>
      </c>
      <c r="D226">
        <f>Student_Master!H220</f>
        <v>0</v>
      </c>
      <c r="E226" t="str">
        <f>Student_Master!I220</f>
        <v>React, Power BI, Java, JavaScript, Python</v>
      </c>
      <c r="F226" t="str">
        <f t="shared" si="6"/>
        <v>Not Eligible</v>
      </c>
      <c r="G226" t="str">
        <f t="shared" si="7"/>
        <v>CGPA below requirement</v>
      </c>
    </row>
    <row r="227" spans="1:7" x14ac:dyDescent="0.25">
      <c r="A227" t="str">
        <f>Student_Master!A221</f>
        <v>STU0220</v>
      </c>
      <c r="B227" t="str">
        <f>Student_Master!B221</f>
        <v>Pooja Pillai</v>
      </c>
      <c r="C227">
        <f>Student_Master!E221</f>
        <v>6.71</v>
      </c>
      <c r="D227">
        <f>Student_Master!H221</f>
        <v>0</v>
      </c>
      <c r="E227" t="str">
        <f>Student_Master!I221</f>
        <v>Git, Java, React, Python, Excel</v>
      </c>
      <c r="F227" t="str">
        <f t="shared" si="6"/>
        <v>Not Eligible</v>
      </c>
      <c r="G227" t="str">
        <f t="shared" si="7"/>
        <v>CGPA below requirement</v>
      </c>
    </row>
    <row r="228" spans="1:7" x14ac:dyDescent="0.25">
      <c r="A228" t="str">
        <f>Student_Master!A222</f>
        <v>STU0221</v>
      </c>
      <c r="B228" t="str">
        <f>Student_Master!B222</f>
        <v>Deepak Shetty</v>
      </c>
      <c r="C228">
        <f>Student_Master!E222</f>
        <v>9.6</v>
      </c>
      <c r="D228">
        <f>Student_Master!H222</f>
        <v>0</v>
      </c>
      <c r="E228" t="str">
        <f>Student_Master!I222</f>
        <v>Java, Python, Excel</v>
      </c>
      <c r="F228" t="str">
        <f t="shared" si="6"/>
        <v>Not Eligible</v>
      </c>
      <c r="G228" t="str">
        <f t="shared" si="7"/>
        <v>Required skill missing</v>
      </c>
    </row>
    <row r="229" spans="1:7" x14ac:dyDescent="0.25">
      <c r="A229" t="str">
        <f>Student_Master!A223</f>
        <v>STU0222</v>
      </c>
      <c r="B229" t="str">
        <f>Student_Master!B223</f>
        <v>Pooja Bhat</v>
      </c>
      <c r="C229">
        <f>Student_Master!E223</f>
        <v>9.44</v>
      </c>
      <c r="D229">
        <f>Student_Master!H223</f>
        <v>0</v>
      </c>
      <c r="E229" t="str">
        <f>Student_Master!I223</f>
        <v>Data Analysis, HTML/CSS, Power BI, React, Java</v>
      </c>
      <c r="F229" t="str">
        <f t="shared" si="6"/>
        <v>Eligible</v>
      </c>
      <c r="G229" t="str">
        <f t="shared" si="7"/>
        <v>Eligible</v>
      </c>
    </row>
    <row r="230" spans="1:7" x14ac:dyDescent="0.25">
      <c r="A230" t="str">
        <f>Student_Master!A224</f>
        <v>STU0223</v>
      </c>
      <c r="B230" t="str">
        <f>Student_Master!B224</f>
        <v>Neha Bhat</v>
      </c>
      <c r="C230">
        <f>Student_Master!E224</f>
        <v>6.4</v>
      </c>
      <c r="D230">
        <f>Student_Master!H224</f>
        <v>2</v>
      </c>
      <c r="E230" t="str">
        <f>Student_Master!I224</f>
        <v>SQL, Git</v>
      </c>
      <c r="F230" t="str">
        <f t="shared" si="6"/>
        <v>Not Eligible</v>
      </c>
      <c r="G230" t="str">
        <f t="shared" si="7"/>
        <v>CGPA below requirement</v>
      </c>
    </row>
    <row r="231" spans="1:7" x14ac:dyDescent="0.25">
      <c r="A231" t="str">
        <f>Student_Master!A225</f>
        <v>STU0224</v>
      </c>
      <c r="B231" t="str">
        <f>Student_Master!B225</f>
        <v>Neha Singh</v>
      </c>
      <c r="C231">
        <f>Student_Master!E225</f>
        <v>8.42</v>
      </c>
      <c r="D231">
        <f>Student_Master!H225</f>
        <v>0</v>
      </c>
      <c r="E231" t="str">
        <f>Student_Master!I225</f>
        <v>Python, JavaScript, Excel, Java, Git</v>
      </c>
      <c r="F231" t="str">
        <f t="shared" si="6"/>
        <v>Not Eligible</v>
      </c>
      <c r="G231" t="str">
        <f t="shared" si="7"/>
        <v>Required skill missing</v>
      </c>
    </row>
    <row r="232" spans="1:7" x14ac:dyDescent="0.25">
      <c r="A232" t="str">
        <f>Student_Master!A226</f>
        <v>STU0225</v>
      </c>
      <c r="B232" t="str">
        <f>Student_Master!B226</f>
        <v>Harsh Bhat</v>
      </c>
      <c r="C232">
        <f>Student_Master!E226</f>
        <v>9.07</v>
      </c>
      <c r="D232">
        <f>Student_Master!H226</f>
        <v>0</v>
      </c>
      <c r="E232" t="str">
        <f>Student_Master!I226</f>
        <v>Java, Python</v>
      </c>
      <c r="F232" t="str">
        <f t="shared" si="6"/>
        <v>Not Eligible</v>
      </c>
      <c r="G232" t="str">
        <f t="shared" si="7"/>
        <v>Required skill missing</v>
      </c>
    </row>
    <row r="233" spans="1:7" x14ac:dyDescent="0.25">
      <c r="A233" t="str">
        <f>Student_Master!A227</f>
        <v>STU0226</v>
      </c>
      <c r="B233" t="str">
        <f>Student_Master!B227</f>
        <v>Tanvi Verma</v>
      </c>
      <c r="C233">
        <f>Student_Master!E227</f>
        <v>7.57</v>
      </c>
      <c r="D233">
        <f>Student_Master!H227</f>
        <v>0</v>
      </c>
      <c r="E233" t="str">
        <f>Student_Master!I227</f>
        <v>Excel, Data Analysis, Python, Git</v>
      </c>
      <c r="F233" t="str">
        <f t="shared" si="6"/>
        <v>Not Eligible</v>
      </c>
      <c r="G233" t="str">
        <f t="shared" si="7"/>
        <v>Required skill missing</v>
      </c>
    </row>
    <row r="234" spans="1:7" x14ac:dyDescent="0.25">
      <c r="A234" t="str">
        <f>Student_Master!A228</f>
        <v>STU0227</v>
      </c>
      <c r="B234" t="str">
        <f>Student_Master!B228</f>
        <v>Pranav Rao</v>
      </c>
      <c r="C234">
        <f>Student_Master!E228</f>
        <v>6.57</v>
      </c>
      <c r="D234">
        <f>Student_Master!H228</f>
        <v>0</v>
      </c>
      <c r="E234" t="str">
        <f>Student_Master!I228</f>
        <v>Excel, HTML/CSS, Java, Python, JavaScript</v>
      </c>
      <c r="F234" t="str">
        <f t="shared" si="6"/>
        <v>Not Eligible</v>
      </c>
      <c r="G234" t="str">
        <f t="shared" si="7"/>
        <v>CGPA below requirement</v>
      </c>
    </row>
    <row r="235" spans="1:7" x14ac:dyDescent="0.25">
      <c r="A235" t="str">
        <f>Student_Master!A229</f>
        <v>STU0228</v>
      </c>
      <c r="B235" t="str">
        <f>Student_Master!B229</f>
        <v>Bhavana Pillai</v>
      </c>
      <c r="C235">
        <f>Student_Master!E229</f>
        <v>7.29</v>
      </c>
      <c r="D235">
        <f>Student_Master!H229</f>
        <v>1</v>
      </c>
      <c r="E235" t="str">
        <f>Student_Master!I229</f>
        <v>HTML/CSS, Python, Power BI, Git</v>
      </c>
      <c r="F235" t="str">
        <f t="shared" si="6"/>
        <v>Not Eligible</v>
      </c>
      <c r="G235" t="str">
        <f t="shared" si="7"/>
        <v>CGPA below requirement</v>
      </c>
    </row>
    <row r="236" spans="1:7" x14ac:dyDescent="0.25">
      <c r="A236" t="str">
        <f>Student_Master!A230</f>
        <v>STU0229</v>
      </c>
      <c r="B236" t="str">
        <f>Student_Master!B230</f>
        <v>Varun Sharma</v>
      </c>
      <c r="C236">
        <f>Student_Master!E230</f>
        <v>8.39</v>
      </c>
      <c r="D236">
        <f>Student_Master!H230</f>
        <v>0</v>
      </c>
      <c r="E236" t="str">
        <f>Student_Master!I230</f>
        <v>Excel, React</v>
      </c>
      <c r="F236" t="str">
        <f t="shared" si="6"/>
        <v>Not Eligible</v>
      </c>
      <c r="G236" t="str">
        <f t="shared" si="7"/>
        <v>Required skill missing</v>
      </c>
    </row>
    <row r="237" spans="1:7" x14ac:dyDescent="0.25">
      <c r="A237" t="str">
        <f>Student_Master!A231</f>
        <v>STU0230</v>
      </c>
      <c r="B237" t="str">
        <f>Student_Master!B231</f>
        <v>Rohan Desai</v>
      </c>
      <c r="C237">
        <f>Student_Master!E231</f>
        <v>8.23</v>
      </c>
      <c r="D237">
        <f>Student_Master!H231</f>
        <v>0</v>
      </c>
      <c r="E237" t="str">
        <f>Student_Master!I231</f>
        <v>JavaScript, Git, HTML/CSS, Java</v>
      </c>
      <c r="F237" t="str">
        <f t="shared" si="6"/>
        <v>Not Eligible</v>
      </c>
      <c r="G237" t="str">
        <f t="shared" si="7"/>
        <v>Required skill missing</v>
      </c>
    </row>
    <row r="238" spans="1:7" x14ac:dyDescent="0.25">
      <c r="A238" t="str">
        <f>Student_Master!A232</f>
        <v>STU0231</v>
      </c>
      <c r="B238" t="str">
        <f>Student_Master!B232</f>
        <v>Harsh Hegde</v>
      </c>
      <c r="C238">
        <f>Student_Master!E232</f>
        <v>7.85</v>
      </c>
      <c r="D238">
        <f>Student_Master!H232</f>
        <v>0</v>
      </c>
      <c r="E238" t="str">
        <f>Student_Master!I232</f>
        <v>Power BI, SQL, React, Excel</v>
      </c>
      <c r="F238" t="str">
        <f t="shared" si="6"/>
        <v>Eligible</v>
      </c>
      <c r="G238" t="str">
        <f t="shared" si="7"/>
        <v>Eligible</v>
      </c>
    </row>
    <row r="239" spans="1:7" x14ac:dyDescent="0.25">
      <c r="A239" t="str">
        <f>Student_Master!A233</f>
        <v>STU0232</v>
      </c>
      <c r="B239" t="str">
        <f>Student_Master!B233</f>
        <v>Suraj Patil</v>
      </c>
      <c r="C239">
        <f>Student_Master!E233</f>
        <v>7.87</v>
      </c>
      <c r="D239">
        <f>Student_Master!H233</f>
        <v>1</v>
      </c>
      <c r="E239" t="str">
        <f>Student_Master!I233</f>
        <v>HTML/CSS, Python, Excel, Git, Java</v>
      </c>
      <c r="F239" t="str">
        <f t="shared" si="6"/>
        <v>Not Eligible</v>
      </c>
      <c r="G239" t="str">
        <f t="shared" si="7"/>
        <v>Too many backlogs</v>
      </c>
    </row>
    <row r="240" spans="1:7" x14ac:dyDescent="0.25">
      <c r="A240" t="str">
        <f>Student_Master!A234</f>
        <v>STU0233</v>
      </c>
      <c r="B240" t="str">
        <f>Student_Master!B234</f>
        <v>Ananya Gowda</v>
      </c>
      <c r="C240">
        <f>Student_Master!E234</f>
        <v>8.7100000000000009</v>
      </c>
      <c r="D240">
        <f>Student_Master!H234</f>
        <v>1</v>
      </c>
      <c r="E240" t="str">
        <f>Student_Master!I234</f>
        <v>Data Analysis, Power BI, Python, JavaScript</v>
      </c>
      <c r="F240" t="str">
        <f t="shared" si="6"/>
        <v>Not Eligible</v>
      </c>
      <c r="G240" t="str">
        <f t="shared" si="7"/>
        <v>Too many backlogs</v>
      </c>
    </row>
    <row r="241" spans="1:7" x14ac:dyDescent="0.25">
      <c r="A241" t="str">
        <f>Student_Master!A235</f>
        <v>STU0234</v>
      </c>
      <c r="B241" t="str">
        <f>Student_Master!B235</f>
        <v>Kavya Joshi</v>
      </c>
      <c r="C241">
        <f>Student_Master!E235</f>
        <v>6.83</v>
      </c>
      <c r="D241">
        <f>Student_Master!H235</f>
        <v>0</v>
      </c>
      <c r="E241" t="str">
        <f>Student_Master!I235</f>
        <v>SQL, Java, HTML/CSS, Git</v>
      </c>
      <c r="F241" t="str">
        <f t="shared" si="6"/>
        <v>Not Eligible</v>
      </c>
      <c r="G241" t="str">
        <f t="shared" si="7"/>
        <v>CGPA below requirement</v>
      </c>
    </row>
    <row r="242" spans="1:7" x14ac:dyDescent="0.25">
      <c r="A242" t="str">
        <f>Student_Master!A236</f>
        <v>STU0235</v>
      </c>
      <c r="B242" t="str">
        <f>Student_Master!B236</f>
        <v>Pooja Hegde</v>
      </c>
      <c r="C242">
        <f>Student_Master!E236</f>
        <v>9.1999999999999993</v>
      </c>
      <c r="D242">
        <f>Student_Master!H236</f>
        <v>0</v>
      </c>
      <c r="E242" t="str">
        <f>Student_Master!I236</f>
        <v>React, Java</v>
      </c>
      <c r="F242" t="str">
        <f t="shared" si="6"/>
        <v>Not Eligible</v>
      </c>
      <c r="G242" t="str">
        <f t="shared" si="7"/>
        <v>Required skill missing</v>
      </c>
    </row>
    <row r="243" spans="1:7" x14ac:dyDescent="0.25">
      <c r="A243" t="str">
        <f>Student_Master!A237</f>
        <v>STU0236</v>
      </c>
      <c r="B243" t="str">
        <f>Student_Master!B237</f>
        <v>Karan Patil</v>
      </c>
      <c r="C243">
        <f>Student_Master!E237</f>
        <v>9.2799999999999994</v>
      </c>
      <c r="D243">
        <f>Student_Master!H237</f>
        <v>0</v>
      </c>
      <c r="E243" t="str">
        <f>Student_Master!I237</f>
        <v>Python, HTML/CSS, Git, JavaScript, Excel</v>
      </c>
      <c r="F243" t="str">
        <f t="shared" si="6"/>
        <v>Not Eligible</v>
      </c>
      <c r="G243" t="str">
        <f t="shared" si="7"/>
        <v>Required skill missing</v>
      </c>
    </row>
    <row r="244" spans="1:7" x14ac:dyDescent="0.25">
      <c r="A244" t="str">
        <f>Student_Master!A238</f>
        <v>STU0237</v>
      </c>
      <c r="B244" t="str">
        <f>Student_Master!B238</f>
        <v>Aarav Patil</v>
      </c>
      <c r="C244">
        <f>Student_Master!E238</f>
        <v>6.89</v>
      </c>
      <c r="D244">
        <f>Student_Master!H238</f>
        <v>0</v>
      </c>
      <c r="E244" t="str">
        <f>Student_Master!I238</f>
        <v>SQL, Python, JavaScript, HTML/CSS, Java</v>
      </c>
      <c r="F244" t="str">
        <f t="shared" si="6"/>
        <v>Not Eligible</v>
      </c>
      <c r="G244" t="str">
        <f t="shared" si="7"/>
        <v>CGPA below requirement</v>
      </c>
    </row>
    <row r="245" spans="1:7" x14ac:dyDescent="0.25">
      <c r="A245" t="str">
        <f>Student_Master!A239</f>
        <v>STU0238</v>
      </c>
      <c r="B245" t="str">
        <f>Student_Master!B239</f>
        <v>Arjun Rao</v>
      </c>
      <c r="C245">
        <f>Student_Master!E239</f>
        <v>7.76</v>
      </c>
      <c r="D245">
        <f>Student_Master!H239</f>
        <v>1</v>
      </c>
      <c r="E245" t="str">
        <f>Student_Master!I239</f>
        <v>Excel, Git, Java</v>
      </c>
      <c r="F245" t="str">
        <f t="shared" si="6"/>
        <v>Not Eligible</v>
      </c>
      <c r="G245" t="str">
        <f t="shared" si="7"/>
        <v>Too many backlogs</v>
      </c>
    </row>
    <row r="246" spans="1:7" x14ac:dyDescent="0.25">
      <c r="A246" t="str">
        <f>Student_Master!A240</f>
        <v>STU0239</v>
      </c>
      <c r="B246" t="str">
        <f>Student_Master!B240</f>
        <v>Neha Gowda</v>
      </c>
      <c r="C246">
        <f>Student_Master!E240</f>
        <v>8.15</v>
      </c>
      <c r="D246">
        <f>Student_Master!H240</f>
        <v>0</v>
      </c>
      <c r="E246" t="str">
        <f>Student_Master!I240</f>
        <v>React, Data Analysis, HTML/CSS, Java</v>
      </c>
      <c r="F246" t="str">
        <f t="shared" si="6"/>
        <v>Not Eligible</v>
      </c>
      <c r="G246" t="str">
        <f t="shared" si="7"/>
        <v>Required skill missing</v>
      </c>
    </row>
    <row r="247" spans="1:7" x14ac:dyDescent="0.25">
      <c r="A247" t="str">
        <f>Student_Master!A241</f>
        <v>STU0240</v>
      </c>
      <c r="B247" t="str">
        <f>Student_Master!B241</f>
        <v>Varun Patil</v>
      </c>
      <c r="C247">
        <f>Student_Master!E241</f>
        <v>6.46</v>
      </c>
      <c r="D247">
        <f>Student_Master!H241</f>
        <v>0</v>
      </c>
      <c r="E247" t="str">
        <f>Student_Master!I241</f>
        <v>Python, Java, Excel</v>
      </c>
      <c r="F247" t="str">
        <f t="shared" si="6"/>
        <v>Not Eligible</v>
      </c>
      <c r="G247" t="str">
        <f t="shared" si="7"/>
        <v>CGPA below requirement</v>
      </c>
    </row>
    <row r="248" spans="1:7" x14ac:dyDescent="0.25">
      <c r="A248" t="str">
        <f>Student_Master!A242</f>
        <v>STU0241</v>
      </c>
      <c r="B248" t="str">
        <f>Student_Master!B242</f>
        <v>Ananya Mishra</v>
      </c>
      <c r="C248">
        <f>Student_Master!E242</f>
        <v>6.82</v>
      </c>
      <c r="D248">
        <f>Student_Master!H242</f>
        <v>3</v>
      </c>
      <c r="E248" t="str">
        <f>Student_Master!I242</f>
        <v>Excel, Git</v>
      </c>
      <c r="F248" t="str">
        <f t="shared" si="6"/>
        <v>Not Eligible</v>
      </c>
      <c r="G248" t="str">
        <f t="shared" si="7"/>
        <v>CGPA below requirement</v>
      </c>
    </row>
    <row r="249" spans="1:7" x14ac:dyDescent="0.25">
      <c r="A249" t="str">
        <f>Student_Master!A243</f>
        <v>STU0242</v>
      </c>
      <c r="B249" t="str">
        <f>Student_Master!B243</f>
        <v>Suraj Jain</v>
      </c>
      <c r="C249">
        <f>Student_Master!E243</f>
        <v>8.61</v>
      </c>
      <c r="D249">
        <f>Student_Master!H243</f>
        <v>0</v>
      </c>
      <c r="E249" t="str">
        <f>Student_Master!I243</f>
        <v>SQL, Data Analysis, Power BI, React, JavaScript</v>
      </c>
      <c r="F249" t="str">
        <f t="shared" si="6"/>
        <v>Eligible</v>
      </c>
      <c r="G249" t="str">
        <f t="shared" si="7"/>
        <v>Eligible</v>
      </c>
    </row>
    <row r="250" spans="1:7" x14ac:dyDescent="0.25">
      <c r="A250" t="str">
        <f>Student_Master!A244</f>
        <v>STU0243</v>
      </c>
      <c r="B250" t="str">
        <f>Student_Master!B244</f>
        <v>Deepak Gowda</v>
      </c>
      <c r="C250">
        <f>Student_Master!E244</f>
        <v>6.26</v>
      </c>
      <c r="D250">
        <f>Student_Master!H244</f>
        <v>0</v>
      </c>
      <c r="E250" t="str">
        <f>Student_Master!I244</f>
        <v>Data Analysis, Java, HTML/CSS, React</v>
      </c>
      <c r="F250" t="str">
        <f t="shared" si="6"/>
        <v>Not Eligible</v>
      </c>
      <c r="G250" t="str">
        <f t="shared" si="7"/>
        <v>CGPA below requirement</v>
      </c>
    </row>
    <row r="251" spans="1:7" x14ac:dyDescent="0.25">
      <c r="A251" t="str">
        <f>Student_Master!A245</f>
        <v>STU0244</v>
      </c>
      <c r="B251" t="str">
        <f>Student_Master!B245</f>
        <v>Nikhil Hegde</v>
      </c>
      <c r="C251">
        <f>Student_Master!E245</f>
        <v>5.81</v>
      </c>
      <c r="D251">
        <f>Student_Master!H245</f>
        <v>1</v>
      </c>
      <c r="E251" t="str">
        <f>Student_Master!I245</f>
        <v>Python, SQL, Data Analysis, HTML/CSS, JavaScript</v>
      </c>
      <c r="F251" t="str">
        <f t="shared" si="6"/>
        <v>Not Eligible</v>
      </c>
      <c r="G251" t="str">
        <f t="shared" si="7"/>
        <v>CGPA below requirement</v>
      </c>
    </row>
    <row r="252" spans="1:7" x14ac:dyDescent="0.25">
      <c r="A252" t="str">
        <f>Student_Master!A246</f>
        <v>STU0245</v>
      </c>
      <c r="B252" t="str">
        <f>Student_Master!B246</f>
        <v>Yash Shetty</v>
      </c>
      <c r="C252">
        <f>Student_Master!E246</f>
        <v>6</v>
      </c>
      <c r="D252">
        <f>Student_Master!H246</f>
        <v>1</v>
      </c>
      <c r="E252" t="str">
        <f>Student_Master!I246</f>
        <v>HTML/CSS, JavaScript, SQL, Excel</v>
      </c>
      <c r="F252" t="str">
        <f t="shared" si="6"/>
        <v>Not Eligible</v>
      </c>
      <c r="G252" t="str">
        <f t="shared" si="7"/>
        <v>CGPA below requirement</v>
      </c>
    </row>
    <row r="253" spans="1:7" x14ac:dyDescent="0.25">
      <c r="A253" t="str">
        <f>Student_Master!A247</f>
        <v>STU0246</v>
      </c>
      <c r="B253" t="str">
        <f>Student_Master!B247</f>
        <v>Harsh Desai</v>
      </c>
      <c r="C253">
        <f>Student_Master!E247</f>
        <v>7.23</v>
      </c>
      <c r="D253">
        <f>Student_Master!H247</f>
        <v>1</v>
      </c>
      <c r="E253" t="str">
        <f>Student_Master!I247</f>
        <v>HTML/CSS, Git</v>
      </c>
      <c r="F253" t="str">
        <f t="shared" si="6"/>
        <v>Not Eligible</v>
      </c>
      <c r="G253" t="str">
        <f t="shared" si="7"/>
        <v>CGPA below requirement</v>
      </c>
    </row>
    <row r="254" spans="1:7" x14ac:dyDescent="0.25">
      <c r="A254" t="str">
        <f>Student_Master!A248</f>
        <v>STU0247</v>
      </c>
      <c r="B254" t="str">
        <f>Student_Master!B248</f>
        <v>Shreya Naik</v>
      </c>
      <c r="C254">
        <f>Student_Master!E248</f>
        <v>8.4</v>
      </c>
      <c r="D254">
        <f>Student_Master!H248</f>
        <v>0</v>
      </c>
      <c r="E254" t="str">
        <f>Student_Master!I248</f>
        <v>Python, SQL</v>
      </c>
      <c r="F254" t="str">
        <f t="shared" si="6"/>
        <v>Not Eligible</v>
      </c>
      <c r="G254" t="str">
        <f t="shared" si="7"/>
        <v>Required skill missing</v>
      </c>
    </row>
    <row r="255" spans="1:7" x14ac:dyDescent="0.25">
      <c r="A255" t="str">
        <f>Student_Master!A249</f>
        <v>STU0248</v>
      </c>
      <c r="B255" t="str">
        <f>Student_Master!B249</f>
        <v>Harsh Kumar</v>
      </c>
      <c r="C255">
        <f>Student_Master!E249</f>
        <v>7.32</v>
      </c>
      <c r="D255">
        <f>Student_Master!H249</f>
        <v>0</v>
      </c>
      <c r="E255" t="str">
        <f>Student_Master!I249</f>
        <v>React, Git, SQL</v>
      </c>
      <c r="F255" t="str">
        <f t="shared" si="6"/>
        <v>Not Eligible</v>
      </c>
      <c r="G255" t="str">
        <f t="shared" si="7"/>
        <v>CGPA below requirement</v>
      </c>
    </row>
    <row r="256" spans="1:7" x14ac:dyDescent="0.25">
      <c r="A256" t="str">
        <f>Student_Master!A250</f>
        <v>STU0249</v>
      </c>
      <c r="B256" t="str">
        <f>Student_Master!B250</f>
        <v>Kavya Desai</v>
      </c>
      <c r="C256">
        <f>Student_Master!E250</f>
        <v>9.27</v>
      </c>
      <c r="D256">
        <f>Student_Master!H250</f>
        <v>0</v>
      </c>
      <c r="E256" t="str">
        <f>Student_Master!I250</f>
        <v>HTML/CSS, Data Analysis, SQL</v>
      </c>
      <c r="F256" t="str">
        <f t="shared" si="6"/>
        <v>Not Eligible</v>
      </c>
      <c r="G256" t="str">
        <f t="shared" si="7"/>
        <v>Required skill missing</v>
      </c>
    </row>
    <row r="257" spans="1:7" x14ac:dyDescent="0.25">
      <c r="A257" t="str">
        <f>Student_Master!A251</f>
        <v>STU0250</v>
      </c>
      <c r="B257" t="str">
        <f>Student_Master!B251</f>
        <v>Divya Mishra</v>
      </c>
      <c r="C257">
        <f>Student_Master!E251</f>
        <v>9.3699999999999992</v>
      </c>
      <c r="D257">
        <f>Student_Master!H251</f>
        <v>2</v>
      </c>
      <c r="E257" t="str">
        <f>Student_Master!I251</f>
        <v>React, Python, SQL, JavaScript, Java</v>
      </c>
      <c r="F257" t="str">
        <f t="shared" si="6"/>
        <v>Not Eligible</v>
      </c>
      <c r="G257" t="str">
        <f t="shared" si="7"/>
        <v>Too many backlogs</v>
      </c>
    </row>
    <row r="258" spans="1:7" x14ac:dyDescent="0.25">
      <c r="A258" t="str">
        <f>Student_Master!A252</f>
        <v>STU0251</v>
      </c>
      <c r="B258" t="str">
        <f>Student_Master!B252</f>
        <v>Sanjay Sharma</v>
      </c>
      <c r="C258">
        <f>Student_Master!E252</f>
        <v>9.07</v>
      </c>
      <c r="D258">
        <f>Student_Master!H252</f>
        <v>0</v>
      </c>
      <c r="E258" t="str">
        <f>Student_Master!I252</f>
        <v>React, Git</v>
      </c>
      <c r="F258" t="str">
        <f t="shared" si="6"/>
        <v>Not Eligible</v>
      </c>
      <c r="G258" t="str">
        <f t="shared" si="7"/>
        <v>Required skill missing</v>
      </c>
    </row>
    <row r="259" spans="1:7" x14ac:dyDescent="0.25">
      <c r="A259" t="str">
        <f>Student_Master!A253</f>
        <v>STU0252</v>
      </c>
      <c r="B259" t="str">
        <f>Student_Master!B253</f>
        <v>Vikas Patil</v>
      </c>
      <c r="C259">
        <f>Student_Master!E253</f>
        <v>7.45</v>
      </c>
      <c r="D259">
        <f>Student_Master!H253</f>
        <v>0</v>
      </c>
      <c r="E259" t="str">
        <f>Student_Master!I253</f>
        <v>Data Analysis, Git, Java, HTML/CSS</v>
      </c>
      <c r="F259" t="str">
        <f t="shared" si="6"/>
        <v>Not Eligible</v>
      </c>
      <c r="G259" t="str">
        <f t="shared" si="7"/>
        <v>CGPA below requirement</v>
      </c>
    </row>
    <row r="260" spans="1:7" x14ac:dyDescent="0.25">
      <c r="A260" t="str">
        <f>Student_Master!A254</f>
        <v>STU0253</v>
      </c>
      <c r="B260" t="str">
        <f>Student_Master!B254</f>
        <v>Varun Hegde</v>
      </c>
      <c r="C260">
        <f>Student_Master!E254</f>
        <v>7.13</v>
      </c>
      <c r="D260">
        <f>Student_Master!H254</f>
        <v>0</v>
      </c>
      <c r="E260" t="str">
        <f>Student_Master!I254</f>
        <v>React, SQL, Data Analysis, JavaScript</v>
      </c>
      <c r="F260" t="str">
        <f t="shared" si="6"/>
        <v>Not Eligible</v>
      </c>
      <c r="G260" t="str">
        <f t="shared" si="7"/>
        <v>CGPA below requirement</v>
      </c>
    </row>
    <row r="261" spans="1:7" x14ac:dyDescent="0.25">
      <c r="A261" t="str">
        <f>Student_Master!A255</f>
        <v>STU0254</v>
      </c>
      <c r="B261" t="str">
        <f>Student_Master!B255</f>
        <v>Vikas Nair</v>
      </c>
      <c r="C261">
        <f>Student_Master!E255</f>
        <v>5.98</v>
      </c>
      <c r="D261">
        <f>Student_Master!H255</f>
        <v>0</v>
      </c>
      <c r="E261" t="str">
        <f>Student_Master!I255</f>
        <v>SQL, Power BI, Java, Git, Excel</v>
      </c>
      <c r="F261" t="str">
        <f t="shared" si="6"/>
        <v>Not Eligible</v>
      </c>
      <c r="G261" t="str">
        <f t="shared" si="7"/>
        <v>CGPA below requirement</v>
      </c>
    </row>
    <row r="262" spans="1:7" x14ac:dyDescent="0.25">
      <c r="A262" t="str">
        <f>Student_Master!A256</f>
        <v>STU0255</v>
      </c>
      <c r="B262" t="str">
        <f>Student_Master!B256</f>
        <v>Nisha Sharma</v>
      </c>
      <c r="C262">
        <f>Student_Master!E256</f>
        <v>8.83</v>
      </c>
      <c r="D262">
        <f>Student_Master!H256</f>
        <v>0</v>
      </c>
      <c r="E262" t="str">
        <f>Student_Master!I256</f>
        <v>React, Git</v>
      </c>
      <c r="F262" t="str">
        <f t="shared" si="6"/>
        <v>Not Eligible</v>
      </c>
      <c r="G262" t="str">
        <f t="shared" si="7"/>
        <v>Required skill missing</v>
      </c>
    </row>
    <row r="263" spans="1:7" x14ac:dyDescent="0.25">
      <c r="A263" t="str">
        <f>Student_Master!A257</f>
        <v>STU0256</v>
      </c>
      <c r="B263" t="str">
        <f>Student_Master!B257</f>
        <v>Neha Kumar</v>
      </c>
      <c r="C263">
        <f>Student_Master!E257</f>
        <v>9.5399999999999991</v>
      </c>
      <c r="D263">
        <f>Student_Master!H257</f>
        <v>0</v>
      </c>
      <c r="E263" t="str">
        <f>Student_Master!I257</f>
        <v>Git, Python, Data Analysis</v>
      </c>
      <c r="F263" t="str">
        <f t="shared" si="6"/>
        <v>Not Eligible</v>
      </c>
      <c r="G263" t="str">
        <f t="shared" si="7"/>
        <v>Required skill missing</v>
      </c>
    </row>
    <row r="264" spans="1:7" x14ac:dyDescent="0.25">
      <c r="A264" t="str">
        <f>Student_Master!A258</f>
        <v>STU0257</v>
      </c>
      <c r="B264" t="str">
        <f>Student_Master!B258</f>
        <v>Pooja Hegde</v>
      </c>
      <c r="C264">
        <f>Student_Master!E258</f>
        <v>9.7200000000000006</v>
      </c>
      <c r="D264">
        <f>Student_Master!H258</f>
        <v>0</v>
      </c>
      <c r="E264" t="str">
        <f>Student_Master!I258</f>
        <v>Power BI, React, Python, SQL</v>
      </c>
      <c r="F264" t="str">
        <f t="shared" si="6"/>
        <v>Eligible</v>
      </c>
      <c r="G264" t="str">
        <f t="shared" si="7"/>
        <v>Eligible</v>
      </c>
    </row>
    <row r="265" spans="1:7" x14ac:dyDescent="0.25">
      <c r="A265" t="str">
        <f>Student_Master!A259</f>
        <v>STU0258</v>
      </c>
      <c r="B265" t="str">
        <f>Student_Master!B259</f>
        <v>Nisha Pillai</v>
      </c>
      <c r="C265">
        <f>Student_Master!E259</f>
        <v>6.6</v>
      </c>
      <c r="D265">
        <f>Student_Master!H259</f>
        <v>0</v>
      </c>
      <c r="E265" t="str">
        <f>Student_Master!I259</f>
        <v>Python, Data Analysis, HTML/CSS</v>
      </c>
      <c r="F265" t="str">
        <f t="shared" ref="F265:F328" si="8">IF(AND(C265&gt;=$E$3,D265&lt;=$E$4,ISNUMBER(SEARCH($E$5,E265))),"Eligible","Not Eligible")</f>
        <v>Not Eligible</v>
      </c>
      <c r="G265" t="str">
        <f t="shared" ref="G265:G328" si="9">IF(C265&lt;$E$3,"CGPA below requirement",IF(D265&gt;$E$4,"Too many backlogs",IF(NOT(ISNUMBER(SEARCH($E$5,E265))),"Required skill missing","Eligible")))</f>
        <v>CGPA below requirement</v>
      </c>
    </row>
    <row r="266" spans="1:7" x14ac:dyDescent="0.25">
      <c r="A266" t="str">
        <f>Student_Master!A260</f>
        <v>STU0259</v>
      </c>
      <c r="B266" t="str">
        <f>Student_Master!B260</f>
        <v>Harsh Kulkarni</v>
      </c>
      <c r="C266">
        <f>Student_Master!E260</f>
        <v>8.7899999999999991</v>
      </c>
      <c r="D266">
        <f>Student_Master!H260</f>
        <v>1</v>
      </c>
      <c r="E266" t="str">
        <f>Student_Master!I260</f>
        <v>Data Analysis, SQL</v>
      </c>
      <c r="F266" t="str">
        <f t="shared" si="8"/>
        <v>Not Eligible</v>
      </c>
      <c r="G266" t="str">
        <f t="shared" si="9"/>
        <v>Too many backlogs</v>
      </c>
    </row>
    <row r="267" spans="1:7" x14ac:dyDescent="0.25">
      <c r="A267" t="str">
        <f>Student_Master!A261</f>
        <v>STU0260</v>
      </c>
      <c r="B267" t="str">
        <f>Student_Master!B261</f>
        <v>Rahul Gupta</v>
      </c>
      <c r="C267">
        <f>Student_Master!E261</f>
        <v>6.39</v>
      </c>
      <c r="D267">
        <f>Student_Master!H261</f>
        <v>0</v>
      </c>
      <c r="E267" t="str">
        <f>Student_Master!I261</f>
        <v>HTML/CSS, React</v>
      </c>
      <c r="F267" t="str">
        <f t="shared" si="8"/>
        <v>Not Eligible</v>
      </c>
      <c r="G267" t="str">
        <f t="shared" si="9"/>
        <v>CGPA below requirement</v>
      </c>
    </row>
    <row r="268" spans="1:7" x14ac:dyDescent="0.25">
      <c r="A268" t="str">
        <f>Student_Master!A262</f>
        <v>STU0261</v>
      </c>
      <c r="B268" t="str">
        <f>Student_Master!B262</f>
        <v>Karan Mishra</v>
      </c>
      <c r="C268">
        <f>Student_Master!E262</f>
        <v>7.84</v>
      </c>
      <c r="D268">
        <f>Student_Master!H262</f>
        <v>0</v>
      </c>
      <c r="E268" t="str">
        <f>Student_Master!I262</f>
        <v>JavaScript, Git</v>
      </c>
      <c r="F268" t="str">
        <f t="shared" si="8"/>
        <v>Not Eligible</v>
      </c>
      <c r="G268" t="str">
        <f t="shared" si="9"/>
        <v>Required skill missing</v>
      </c>
    </row>
    <row r="269" spans="1:7" x14ac:dyDescent="0.25">
      <c r="A269" t="str">
        <f>Student_Master!A263</f>
        <v>STU0262</v>
      </c>
      <c r="B269" t="str">
        <f>Student_Master!B263</f>
        <v>Akash Kulkarni</v>
      </c>
      <c r="C269">
        <f>Student_Master!E263</f>
        <v>8.77</v>
      </c>
      <c r="D269">
        <f>Student_Master!H263</f>
        <v>1</v>
      </c>
      <c r="E269" t="str">
        <f>Student_Master!I263</f>
        <v>Java; HTML/CSS; Git; JavaScript; Data Analysis</v>
      </c>
      <c r="F269" t="str">
        <f t="shared" si="8"/>
        <v>Not Eligible</v>
      </c>
      <c r="G269" t="str">
        <f t="shared" si="9"/>
        <v>Too many backlogs</v>
      </c>
    </row>
    <row r="270" spans="1:7" x14ac:dyDescent="0.25">
      <c r="A270" t="str">
        <f>Student_Master!A264</f>
        <v>STU0263</v>
      </c>
      <c r="B270" t="str">
        <f>Student_Master!B264</f>
        <v>Aditi Shetty</v>
      </c>
      <c r="C270">
        <f>Student_Master!E264</f>
        <v>7.86</v>
      </c>
      <c r="D270">
        <f>Student_Master!H264</f>
        <v>0</v>
      </c>
      <c r="E270" t="str">
        <f>Student_Master!I264</f>
        <v>Python; Power BI; Excel</v>
      </c>
      <c r="F270" t="str">
        <f t="shared" si="8"/>
        <v>Eligible</v>
      </c>
      <c r="G270" t="str">
        <f t="shared" si="9"/>
        <v>Eligible</v>
      </c>
    </row>
    <row r="271" spans="1:7" x14ac:dyDescent="0.25">
      <c r="A271" t="str">
        <f>Student_Master!A265</f>
        <v>STU0264</v>
      </c>
      <c r="B271" t="str">
        <f>Student_Master!B265</f>
        <v>Meera Mishra</v>
      </c>
      <c r="C271">
        <f>Student_Master!E265</f>
        <v>8.89</v>
      </c>
      <c r="D271">
        <f>Student_Master!H265</f>
        <v>0</v>
      </c>
      <c r="E271" t="str">
        <f>Student_Master!I265</f>
        <v>SQL, HTML/CSS, Java, Git</v>
      </c>
      <c r="F271" t="str">
        <f t="shared" si="8"/>
        <v>Not Eligible</v>
      </c>
      <c r="G271" t="str">
        <f t="shared" si="9"/>
        <v>Required skill missing</v>
      </c>
    </row>
    <row r="272" spans="1:7" x14ac:dyDescent="0.25">
      <c r="A272" t="str">
        <f>Student_Master!A266</f>
        <v>STU0265</v>
      </c>
      <c r="B272" t="str">
        <f>Student_Master!B266</f>
        <v>Ananya Singh</v>
      </c>
      <c r="C272">
        <f>Student_Master!E266</f>
        <v>7.2</v>
      </c>
      <c r="D272">
        <f>Student_Master!H266</f>
        <v>0</v>
      </c>
      <c r="E272" t="str">
        <f>Student_Master!I266</f>
        <v>Java, Data Analysis, React, Power BI</v>
      </c>
      <c r="F272" t="str">
        <f t="shared" si="8"/>
        <v>Not Eligible</v>
      </c>
      <c r="G272" t="str">
        <f t="shared" si="9"/>
        <v>CGPA below requirement</v>
      </c>
    </row>
    <row r="273" spans="1:7" x14ac:dyDescent="0.25">
      <c r="A273" t="str">
        <f>Student_Master!A267</f>
        <v>STU0266</v>
      </c>
      <c r="B273" t="str">
        <f>Student_Master!B267</f>
        <v>Tanvi Singh</v>
      </c>
      <c r="C273">
        <f>Student_Master!E267</f>
        <v>9.42</v>
      </c>
      <c r="D273">
        <f>Student_Master!H267</f>
        <v>2</v>
      </c>
      <c r="E273" t="str">
        <f>Student_Master!I267</f>
        <v>JavaScript, SQL, Git, Python</v>
      </c>
      <c r="F273" t="str">
        <f t="shared" si="8"/>
        <v>Not Eligible</v>
      </c>
      <c r="G273" t="str">
        <f t="shared" si="9"/>
        <v>Too many backlogs</v>
      </c>
    </row>
    <row r="274" spans="1:7" x14ac:dyDescent="0.25">
      <c r="A274" t="str">
        <f>Student_Master!A268</f>
        <v>STU0267</v>
      </c>
      <c r="B274" t="str">
        <f>Student_Master!B268</f>
        <v>Shreya Nair</v>
      </c>
      <c r="C274">
        <f>Student_Master!E268</f>
        <v>5.98</v>
      </c>
      <c r="D274">
        <f>Student_Master!H268</f>
        <v>0</v>
      </c>
      <c r="E274" t="str">
        <f>Student_Master!I268</f>
        <v>Python, Data Analysis</v>
      </c>
      <c r="F274" t="str">
        <f t="shared" si="8"/>
        <v>Not Eligible</v>
      </c>
      <c r="G274" t="str">
        <f t="shared" si="9"/>
        <v>CGPA below requirement</v>
      </c>
    </row>
    <row r="275" spans="1:7" x14ac:dyDescent="0.25">
      <c r="A275" t="str">
        <f>Student_Master!A269</f>
        <v>STU0268</v>
      </c>
      <c r="B275" t="str">
        <f>Student_Master!B269</f>
        <v>Harsh Mishra</v>
      </c>
      <c r="C275">
        <f>Student_Master!E269</f>
        <v>6.62</v>
      </c>
      <c r="D275">
        <f>Student_Master!H269</f>
        <v>0</v>
      </c>
      <c r="E275" t="str">
        <f>Student_Master!I269</f>
        <v>SQL, Python, Excel, Java, HTML/CSS</v>
      </c>
      <c r="F275" t="str">
        <f t="shared" si="8"/>
        <v>Not Eligible</v>
      </c>
      <c r="G275" t="str">
        <f t="shared" si="9"/>
        <v>CGPA below requirement</v>
      </c>
    </row>
    <row r="276" spans="1:7" x14ac:dyDescent="0.25">
      <c r="A276" t="str">
        <f>Student_Master!A270</f>
        <v>STU0269</v>
      </c>
      <c r="B276" t="str">
        <f>Student_Master!B270</f>
        <v>Tanvi Pillai</v>
      </c>
      <c r="C276">
        <f>Student_Master!E270</f>
        <v>9.09</v>
      </c>
      <c r="D276">
        <f>Student_Master!H270</f>
        <v>0</v>
      </c>
      <c r="E276" t="str">
        <f>Student_Master!I270</f>
        <v>JavaScript, HTML/CSS, Excel, Java, Data Analysis</v>
      </c>
      <c r="F276" t="str">
        <f t="shared" si="8"/>
        <v>Not Eligible</v>
      </c>
      <c r="G276" t="str">
        <f t="shared" si="9"/>
        <v>Required skill missing</v>
      </c>
    </row>
    <row r="277" spans="1:7" x14ac:dyDescent="0.25">
      <c r="A277" t="str">
        <f>Student_Master!A271</f>
        <v>STU0270</v>
      </c>
      <c r="B277" t="str">
        <f>Student_Master!B271</f>
        <v>Nisha Kulkarni</v>
      </c>
      <c r="C277">
        <f>Student_Master!E271</f>
        <v>9.19</v>
      </c>
      <c r="D277">
        <f>Student_Master!H271</f>
        <v>0</v>
      </c>
      <c r="E277" t="str">
        <f>Student_Master!I271</f>
        <v>Git, SQL, Power BI, JavaScript</v>
      </c>
      <c r="F277" t="str">
        <f t="shared" si="8"/>
        <v>Eligible</v>
      </c>
      <c r="G277" t="str">
        <f t="shared" si="9"/>
        <v>Eligible</v>
      </c>
    </row>
    <row r="278" spans="1:7" x14ac:dyDescent="0.25">
      <c r="A278" t="str">
        <f>Student_Master!A272</f>
        <v>STU0271</v>
      </c>
      <c r="B278" t="str">
        <f>Student_Master!B272</f>
        <v>Riya Jain</v>
      </c>
      <c r="C278">
        <f>Student_Master!E272</f>
        <v>8.7899999999999991</v>
      </c>
      <c r="D278">
        <f>Student_Master!H272</f>
        <v>0</v>
      </c>
      <c r="E278" t="str">
        <f>Student_Master!I272</f>
        <v>Power BI, HTML/CSS, Excel</v>
      </c>
      <c r="F278" t="str">
        <f t="shared" si="8"/>
        <v>Eligible</v>
      </c>
      <c r="G278" t="str">
        <f t="shared" si="9"/>
        <v>Eligible</v>
      </c>
    </row>
    <row r="279" spans="1:7" x14ac:dyDescent="0.25">
      <c r="A279" t="str">
        <f>Student_Master!A273</f>
        <v>STU0272</v>
      </c>
      <c r="B279" t="str">
        <f>Student_Master!B273</f>
        <v>Deepak Rao</v>
      </c>
      <c r="C279">
        <f>Student_Master!E273</f>
        <v>7.99</v>
      </c>
      <c r="D279">
        <f>Student_Master!H273</f>
        <v>0</v>
      </c>
      <c r="E279" t="str">
        <f>Student_Master!I273</f>
        <v>Java, JavaScript, Python, SQL</v>
      </c>
      <c r="F279" t="str">
        <f t="shared" si="8"/>
        <v>Not Eligible</v>
      </c>
      <c r="G279" t="str">
        <f t="shared" si="9"/>
        <v>Required skill missing</v>
      </c>
    </row>
    <row r="280" spans="1:7" x14ac:dyDescent="0.25">
      <c r="A280" t="str">
        <f>Student_Master!A274</f>
        <v>STU0273</v>
      </c>
      <c r="B280" t="str">
        <f>Student_Master!B274</f>
        <v>Karan Singh</v>
      </c>
      <c r="C280">
        <f>Student_Master!E274</f>
        <v>9</v>
      </c>
      <c r="D280">
        <f>Student_Master!H274</f>
        <v>2</v>
      </c>
      <c r="E280" t="str">
        <f>Student_Master!I274</f>
        <v>Data Analysis, SQL, Power BI, HTML/CSS, Excel</v>
      </c>
      <c r="F280" t="str">
        <f t="shared" si="8"/>
        <v>Not Eligible</v>
      </c>
      <c r="G280" t="str">
        <f t="shared" si="9"/>
        <v>Too many backlogs</v>
      </c>
    </row>
    <row r="281" spans="1:7" x14ac:dyDescent="0.25">
      <c r="A281" t="str">
        <f>Student_Master!A275</f>
        <v>STU0274</v>
      </c>
      <c r="B281" t="str">
        <f>Student_Master!B275</f>
        <v>Riya Pillai</v>
      </c>
      <c r="C281">
        <f>Student_Master!E275</f>
        <v>8.42</v>
      </c>
      <c r="D281">
        <f>Student_Master!H275</f>
        <v>1</v>
      </c>
      <c r="E281" t="str">
        <f>Student_Master!I275</f>
        <v>React, Git, HTML/CSS, Power BI</v>
      </c>
      <c r="F281" t="str">
        <f t="shared" si="8"/>
        <v>Not Eligible</v>
      </c>
      <c r="G281" t="str">
        <f t="shared" si="9"/>
        <v>Too many backlogs</v>
      </c>
    </row>
    <row r="282" spans="1:7" x14ac:dyDescent="0.25">
      <c r="A282" t="str">
        <f>Student_Master!A276</f>
        <v>STU0275</v>
      </c>
      <c r="B282" t="str">
        <f>Student_Master!B276</f>
        <v>Kavya Hegde</v>
      </c>
      <c r="C282">
        <f>Student_Master!E276</f>
        <v>9.6300000000000008</v>
      </c>
      <c r="D282">
        <f>Student_Master!H276</f>
        <v>1</v>
      </c>
      <c r="E282" t="str">
        <f>Student_Master!I276</f>
        <v>Power BI, HTML/CSS, Python, Data Analysis, JavaScript</v>
      </c>
      <c r="F282" t="str">
        <f t="shared" si="8"/>
        <v>Not Eligible</v>
      </c>
      <c r="G282" t="str">
        <f t="shared" si="9"/>
        <v>Too many backlogs</v>
      </c>
    </row>
    <row r="283" spans="1:7" x14ac:dyDescent="0.25">
      <c r="A283" t="str">
        <f>Student_Master!A277</f>
        <v>STU0276</v>
      </c>
      <c r="B283" t="str">
        <f>Student_Master!B277</f>
        <v>Akash Sharma</v>
      </c>
      <c r="C283">
        <f>Student_Master!E277</f>
        <v>6.24</v>
      </c>
      <c r="D283">
        <f>Student_Master!H277</f>
        <v>0</v>
      </c>
      <c r="E283" t="str">
        <f>Student_Master!I277</f>
        <v>Data Analysis, Java, Power BI</v>
      </c>
      <c r="F283" t="str">
        <f t="shared" si="8"/>
        <v>Not Eligible</v>
      </c>
      <c r="G283" t="str">
        <f t="shared" si="9"/>
        <v>CGPA below requirement</v>
      </c>
    </row>
    <row r="284" spans="1:7" x14ac:dyDescent="0.25">
      <c r="A284" t="str">
        <f>Student_Master!A278</f>
        <v>STU0277</v>
      </c>
      <c r="B284" t="str">
        <f>Student_Master!B278</f>
        <v>Riya Hegde</v>
      </c>
      <c r="C284">
        <f>Student_Master!E278</f>
        <v>8.1199999999999992</v>
      </c>
      <c r="D284">
        <f>Student_Master!H278</f>
        <v>0</v>
      </c>
      <c r="E284" t="str">
        <f>Student_Master!I278</f>
        <v>Data Analysis, Git, React, HTML/CSS</v>
      </c>
      <c r="F284" t="str">
        <f t="shared" si="8"/>
        <v>Not Eligible</v>
      </c>
      <c r="G284" t="str">
        <f t="shared" si="9"/>
        <v>Required skill missing</v>
      </c>
    </row>
    <row r="285" spans="1:7" x14ac:dyDescent="0.25">
      <c r="A285" t="str">
        <f>Student_Master!A279</f>
        <v>STU0278</v>
      </c>
      <c r="B285" t="str">
        <f>Student_Master!B279</f>
        <v>Arjun Gowda</v>
      </c>
      <c r="C285">
        <f>Student_Master!E279</f>
        <v>7.8</v>
      </c>
      <c r="D285">
        <f>Student_Master!H279</f>
        <v>0</v>
      </c>
      <c r="E285" t="str">
        <f>Student_Master!I279</f>
        <v>Git, Python, Data Analysis</v>
      </c>
      <c r="F285" t="str">
        <f t="shared" si="8"/>
        <v>Not Eligible</v>
      </c>
      <c r="G285" t="str">
        <f t="shared" si="9"/>
        <v>Required skill missing</v>
      </c>
    </row>
    <row r="286" spans="1:7" x14ac:dyDescent="0.25">
      <c r="A286" t="str">
        <f>Student_Master!A280</f>
        <v>STU0279</v>
      </c>
      <c r="B286" t="str">
        <f>Student_Master!B280</f>
        <v>Neha Patil</v>
      </c>
      <c r="C286">
        <f>Student_Master!E280</f>
        <v>6.68</v>
      </c>
      <c r="D286">
        <f>Student_Master!H280</f>
        <v>0</v>
      </c>
      <c r="E286" t="str">
        <f>Student_Master!I280</f>
        <v>Java, Data Analysis</v>
      </c>
      <c r="F286" t="str">
        <f t="shared" si="8"/>
        <v>Not Eligible</v>
      </c>
      <c r="G286" t="str">
        <f t="shared" si="9"/>
        <v>CGPA below requirement</v>
      </c>
    </row>
    <row r="287" spans="1:7" x14ac:dyDescent="0.25">
      <c r="A287" t="str">
        <f>Student_Master!A281</f>
        <v>STU0280</v>
      </c>
      <c r="B287" t="str">
        <f>Student_Master!B281</f>
        <v>Neha Reddy</v>
      </c>
      <c r="C287">
        <f>Student_Master!E281</f>
        <v>7.1</v>
      </c>
      <c r="D287">
        <f>Student_Master!H281</f>
        <v>1</v>
      </c>
      <c r="E287" t="str">
        <f>Student_Master!I281</f>
        <v>Git, Data Analysis, Python, Java</v>
      </c>
      <c r="F287" t="str">
        <f t="shared" si="8"/>
        <v>Not Eligible</v>
      </c>
      <c r="G287" t="str">
        <f t="shared" si="9"/>
        <v>CGPA below requirement</v>
      </c>
    </row>
    <row r="288" spans="1:7" x14ac:dyDescent="0.25">
      <c r="A288" t="str">
        <f>Student_Master!A282</f>
        <v>STU0281</v>
      </c>
      <c r="B288" t="str">
        <f>Student_Master!B282</f>
        <v>Sanjay Joshi</v>
      </c>
      <c r="C288">
        <f>Student_Master!E282</f>
        <v>9.69</v>
      </c>
      <c r="D288">
        <f>Student_Master!H282</f>
        <v>1</v>
      </c>
      <c r="E288" t="str">
        <f>Student_Master!I282</f>
        <v>React, Git, Excel, Power BI</v>
      </c>
      <c r="F288" t="str">
        <f t="shared" si="8"/>
        <v>Not Eligible</v>
      </c>
      <c r="G288" t="str">
        <f t="shared" si="9"/>
        <v>Too many backlogs</v>
      </c>
    </row>
    <row r="289" spans="1:7" x14ac:dyDescent="0.25">
      <c r="A289" t="str">
        <f>Student_Master!A283</f>
        <v>STU0282</v>
      </c>
      <c r="B289" t="str">
        <f>Student_Master!B283</f>
        <v>Riya Kulkarni</v>
      </c>
      <c r="C289">
        <f>Student_Master!E283</f>
        <v>6.55</v>
      </c>
      <c r="D289">
        <f>Student_Master!H283</f>
        <v>0</v>
      </c>
      <c r="E289" t="str">
        <f>Student_Master!I283</f>
        <v>JavaScript, HTML/CSS, SQL</v>
      </c>
      <c r="F289" t="str">
        <f t="shared" si="8"/>
        <v>Not Eligible</v>
      </c>
      <c r="G289" t="str">
        <f t="shared" si="9"/>
        <v>CGPA below requirement</v>
      </c>
    </row>
    <row r="290" spans="1:7" x14ac:dyDescent="0.25">
      <c r="A290" t="str">
        <f>Student_Master!A284</f>
        <v>STU0283</v>
      </c>
      <c r="B290" t="str">
        <f>Student_Master!B284</f>
        <v>Manoj Jain</v>
      </c>
      <c r="C290">
        <f>Student_Master!E284</f>
        <v>6.77</v>
      </c>
      <c r="D290">
        <f>Student_Master!H284</f>
        <v>0</v>
      </c>
      <c r="E290" t="str">
        <f>Student_Master!I284</f>
        <v>Git; Python</v>
      </c>
      <c r="F290" t="str">
        <f t="shared" si="8"/>
        <v>Not Eligible</v>
      </c>
      <c r="G290" t="str">
        <f t="shared" si="9"/>
        <v>CGPA below requirement</v>
      </c>
    </row>
    <row r="291" spans="1:7" x14ac:dyDescent="0.25">
      <c r="A291" t="str">
        <f>Student_Master!A285</f>
        <v>STU0284</v>
      </c>
      <c r="B291" t="str">
        <f>Student_Master!B285</f>
        <v>Rohan Verma</v>
      </c>
      <c r="C291">
        <f>Student_Master!E285</f>
        <v>8.7100000000000009</v>
      </c>
      <c r="D291">
        <f>Student_Master!H285</f>
        <v>0</v>
      </c>
      <c r="E291" t="str">
        <f>Student_Master!I285</f>
        <v>React, Python, Java, JavaScript, Git</v>
      </c>
      <c r="F291" t="str">
        <f t="shared" si="8"/>
        <v>Not Eligible</v>
      </c>
      <c r="G291" t="str">
        <f t="shared" si="9"/>
        <v>Required skill missing</v>
      </c>
    </row>
    <row r="292" spans="1:7" x14ac:dyDescent="0.25">
      <c r="A292" t="str">
        <f>Student_Master!A286</f>
        <v>STU0285</v>
      </c>
      <c r="B292" t="str">
        <f>Student_Master!B286</f>
        <v>Shreya Bhat</v>
      </c>
      <c r="C292">
        <f>Student_Master!E286</f>
        <v>8.6999999999999993</v>
      </c>
      <c r="D292">
        <f>Student_Master!H286</f>
        <v>0</v>
      </c>
      <c r="E292" t="str">
        <f>Student_Master!I286</f>
        <v>JavaScript, Git, Python</v>
      </c>
      <c r="F292" t="str">
        <f t="shared" si="8"/>
        <v>Not Eligible</v>
      </c>
      <c r="G292" t="str">
        <f t="shared" si="9"/>
        <v>Required skill missing</v>
      </c>
    </row>
    <row r="293" spans="1:7" x14ac:dyDescent="0.25">
      <c r="A293" t="str">
        <f>Student_Master!A287</f>
        <v>STU0286</v>
      </c>
      <c r="B293" t="str">
        <f>Student_Master!B287</f>
        <v>Vikas Sharma</v>
      </c>
      <c r="C293">
        <f>Student_Master!E287</f>
        <v>6.19</v>
      </c>
      <c r="D293">
        <f>Student_Master!H287</f>
        <v>0</v>
      </c>
      <c r="E293" t="str">
        <f>Student_Master!I287</f>
        <v>SQL, React</v>
      </c>
      <c r="F293" t="str">
        <f t="shared" si="8"/>
        <v>Not Eligible</v>
      </c>
      <c r="G293" t="str">
        <f t="shared" si="9"/>
        <v>CGPA below requirement</v>
      </c>
    </row>
    <row r="294" spans="1:7" x14ac:dyDescent="0.25">
      <c r="A294" t="str">
        <f>Student_Master!A288</f>
        <v>STU0287</v>
      </c>
      <c r="B294" t="str">
        <f>Student_Master!B288</f>
        <v>Ishita Jain</v>
      </c>
      <c r="C294">
        <f>Student_Master!E288</f>
        <v>7.48</v>
      </c>
      <c r="D294">
        <f>Student_Master!H288</f>
        <v>0</v>
      </c>
      <c r="E294" t="str">
        <f>Student_Master!I288</f>
        <v>JavaScript, HTML/CSS, SQL, Java, React</v>
      </c>
      <c r="F294" t="str">
        <f t="shared" si="8"/>
        <v>Not Eligible</v>
      </c>
      <c r="G294" t="str">
        <f t="shared" si="9"/>
        <v>CGPA below requirement</v>
      </c>
    </row>
    <row r="295" spans="1:7" x14ac:dyDescent="0.25">
      <c r="A295" t="str">
        <f>Student_Master!A289</f>
        <v>STU0288</v>
      </c>
      <c r="B295" t="str">
        <f>Student_Master!B289</f>
        <v>Kavya Rao</v>
      </c>
      <c r="C295">
        <f>Student_Master!E289</f>
        <v>6.56</v>
      </c>
      <c r="D295">
        <f>Student_Master!H289</f>
        <v>0</v>
      </c>
      <c r="E295" t="str">
        <f>Student_Master!I289</f>
        <v>Data Analysis, Excel</v>
      </c>
      <c r="F295" t="str">
        <f t="shared" si="8"/>
        <v>Not Eligible</v>
      </c>
      <c r="G295" t="str">
        <f t="shared" si="9"/>
        <v>CGPA below requirement</v>
      </c>
    </row>
    <row r="296" spans="1:7" x14ac:dyDescent="0.25">
      <c r="A296" t="str">
        <f>Student_Master!A290</f>
        <v>STU0289</v>
      </c>
      <c r="B296" t="str">
        <f>Student_Master!B290</f>
        <v>Nisha Kulkarni</v>
      </c>
      <c r="C296">
        <f>Student_Master!E290</f>
        <v>8.41</v>
      </c>
      <c r="D296">
        <f>Student_Master!H290</f>
        <v>0</v>
      </c>
      <c r="E296" t="str">
        <f>Student_Master!I290</f>
        <v>Git, Power BI, JavaScript, React</v>
      </c>
      <c r="F296" t="str">
        <f t="shared" si="8"/>
        <v>Eligible</v>
      </c>
      <c r="G296" t="str">
        <f t="shared" si="9"/>
        <v>Eligible</v>
      </c>
    </row>
    <row r="297" spans="1:7" x14ac:dyDescent="0.25">
      <c r="A297" t="str">
        <f>Student_Master!A291</f>
        <v>STU0290</v>
      </c>
      <c r="B297" t="str">
        <f>Student_Master!B291</f>
        <v>Deepak Verma</v>
      </c>
      <c r="C297">
        <f>Student_Master!E291</f>
        <v>6.82</v>
      </c>
      <c r="D297">
        <f>Student_Master!H291</f>
        <v>0</v>
      </c>
      <c r="E297" t="str">
        <f>Student_Master!I291</f>
        <v>SQL, Java, React</v>
      </c>
      <c r="F297" t="str">
        <f t="shared" si="8"/>
        <v>Not Eligible</v>
      </c>
      <c r="G297" t="str">
        <f t="shared" si="9"/>
        <v>CGPA below requirement</v>
      </c>
    </row>
    <row r="298" spans="1:7" x14ac:dyDescent="0.25">
      <c r="A298" t="str">
        <f>Student_Master!A292</f>
        <v>STU0291</v>
      </c>
      <c r="B298" t="str">
        <f>Student_Master!B292</f>
        <v>Rohan Patil</v>
      </c>
      <c r="C298">
        <f>Student_Master!E292</f>
        <v>9</v>
      </c>
      <c r="D298">
        <f>Student_Master!H292</f>
        <v>0</v>
      </c>
      <c r="E298" t="str">
        <f>Student_Master!I292</f>
        <v>Excel, SQL, Python, Java, Power BI</v>
      </c>
      <c r="F298" t="str">
        <f t="shared" si="8"/>
        <v>Eligible</v>
      </c>
      <c r="G298" t="str">
        <f t="shared" si="9"/>
        <v>Eligible</v>
      </c>
    </row>
    <row r="299" spans="1:7" x14ac:dyDescent="0.25">
      <c r="A299" t="str">
        <f>Student_Master!A293</f>
        <v>STU0292</v>
      </c>
      <c r="B299" t="str">
        <f>Student_Master!B293</f>
        <v>Ishita Nair</v>
      </c>
      <c r="C299">
        <f>Student_Master!E293</f>
        <v>8.26</v>
      </c>
      <c r="D299">
        <f>Student_Master!H293</f>
        <v>0</v>
      </c>
      <c r="E299" t="str">
        <f>Student_Master!I293</f>
        <v>React, Git, Excel</v>
      </c>
      <c r="F299" t="str">
        <f t="shared" si="8"/>
        <v>Not Eligible</v>
      </c>
      <c r="G299" t="str">
        <f t="shared" si="9"/>
        <v>Required skill missing</v>
      </c>
    </row>
    <row r="300" spans="1:7" x14ac:dyDescent="0.25">
      <c r="A300" t="str">
        <f>Student_Master!A294</f>
        <v>STU0293</v>
      </c>
      <c r="B300" t="str">
        <f>Student_Master!B294</f>
        <v>Shreya Desai</v>
      </c>
      <c r="C300">
        <f>Student_Master!E294</f>
        <v>7.84</v>
      </c>
      <c r="D300">
        <f>Student_Master!H294</f>
        <v>0</v>
      </c>
      <c r="E300" t="str">
        <f>Student_Master!I294</f>
        <v>Java, Excel, Python, Data Analysis</v>
      </c>
      <c r="F300" t="str">
        <f t="shared" si="8"/>
        <v>Not Eligible</v>
      </c>
      <c r="G300" t="str">
        <f t="shared" si="9"/>
        <v>Required skill missing</v>
      </c>
    </row>
    <row r="301" spans="1:7" x14ac:dyDescent="0.25">
      <c r="A301" t="str">
        <f>Student_Master!A295</f>
        <v>STU0294</v>
      </c>
      <c r="B301" t="str">
        <f>Student_Master!B295</f>
        <v>Nikhil Desai</v>
      </c>
      <c r="C301">
        <f>Student_Master!E295</f>
        <v>6.6</v>
      </c>
      <c r="D301">
        <f>Student_Master!H295</f>
        <v>1</v>
      </c>
      <c r="E301" t="str">
        <f>Student_Master!I295</f>
        <v>Data Analysis, HTML/CSS, Git, JavaScript</v>
      </c>
      <c r="F301" t="str">
        <f t="shared" si="8"/>
        <v>Not Eligible</v>
      </c>
      <c r="G301" t="str">
        <f t="shared" si="9"/>
        <v>CGPA below requirement</v>
      </c>
    </row>
    <row r="302" spans="1:7" x14ac:dyDescent="0.25">
      <c r="A302" t="str">
        <f>Student_Master!A296</f>
        <v>STU0295</v>
      </c>
      <c r="B302" t="str">
        <f>Student_Master!B296</f>
        <v>Nikhil Desai</v>
      </c>
      <c r="C302">
        <f>Student_Master!E296</f>
        <v>6.5</v>
      </c>
      <c r="D302">
        <f>Student_Master!H296</f>
        <v>0</v>
      </c>
      <c r="E302" t="str">
        <f>Student_Master!I296</f>
        <v>SQL, Data Analysis, Power BI, React</v>
      </c>
      <c r="F302" t="str">
        <f t="shared" si="8"/>
        <v>Not Eligible</v>
      </c>
      <c r="G302" t="str">
        <f t="shared" si="9"/>
        <v>CGPA below requirement</v>
      </c>
    </row>
    <row r="303" spans="1:7" x14ac:dyDescent="0.25">
      <c r="A303" t="str">
        <f>Student_Master!A297</f>
        <v>STU0296</v>
      </c>
      <c r="B303" t="str">
        <f>Student_Master!B297</f>
        <v>Shreya Gupta</v>
      </c>
      <c r="C303">
        <f>Student_Master!E297</f>
        <v>8.83</v>
      </c>
      <c r="D303">
        <f>Student_Master!H297</f>
        <v>0</v>
      </c>
      <c r="E303" t="str">
        <f>Student_Master!I297</f>
        <v>React, SQL</v>
      </c>
      <c r="F303" t="str">
        <f t="shared" si="8"/>
        <v>Not Eligible</v>
      </c>
      <c r="G303" t="str">
        <f t="shared" si="9"/>
        <v>Required skill missing</v>
      </c>
    </row>
    <row r="304" spans="1:7" x14ac:dyDescent="0.25">
      <c r="A304" t="str">
        <f>Student_Master!A298</f>
        <v>STU0297</v>
      </c>
      <c r="B304" t="str">
        <f>Student_Master!B298</f>
        <v>Rahul Kulkarni</v>
      </c>
      <c r="C304">
        <f>Student_Master!E298</f>
        <v>9.6199999999999992</v>
      </c>
      <c r="D304">
        <f>Student_Master!H298</f>
        <v>1</v>
      </c>
      <c r="E304" t="str">
        <f>Student_Master!I298</f>
        <v>Power BI, SQL, JavaScript</v>
      </c>
      <c r="F304" t="str">
        <f t="shared" si="8"/>
        <v>Not Eligible</v>
      </c>
      <c r="G304" t="str">
        <f t="shared" si="9"/>
        <v>Too many backlogs</v>
      </c>
    </row>
    <row r="305" spans="1:7" x14ac:dyDescent="0.25">
      <c r="A305" t="str">
        <f>Student_Master!A299</f>
        <v>STU0298</v>
      </c>
      <c r="B305" t="str">
        <f>Student_Master!B299</f>
        <v>Divya Nair</v>
      </c>
      <c r="C305">
        <f>Student_Master!E299</f>
        <v>7.21</v>
      </c>
      <c r="D305">
        <f>Student_Master!H299</f>
        <v>2</v>
      </c>
      <c r="E305" t="str">
        <f>Student_Master!I299</f>
        <v>React, Java, Data Analysis</v>
      </c>
      <c r="F305" t="str">
        <f t="shared" si="8"/>
        <v>Not Eligible</v>
      </c>
      <c r="G305" t="str">
        <f t="shared" si="9"/>
        <v>CGPA below requirement</v>
      </c>
    </row>
    <row r="306" spans="1:7" x14ac:dyDescent="0.25">
      <c r="A306" t="str">
        <f>Student_Master!A300</f>
        <v>STU0299</v>
      </c>
      <c r="B306" t="str">
        <f>Student_Master!B300</f>
        <v>Neha Pillai</v>
      </c>
      <c r="C306">
        <f>Student_Master!E300</f>
        <v>7.22</v>
      </c>
      <c r="D306">
        <f>Student_Master!H300</f>
        <v>0</v>
      </c>
      <c r="E306" t="str">
        <f>Student_Master!I300</f>
        <v>Git, Excel, Data Analysis, JavaScript, Java</v>
      </c>
      <c r="F306" t="str">
        <f t="shared" si="8"/>
        <v>Not Eligible</v>
      </c>
      <c r="G306" t="str">
        <f t="shared" si="9"/>
        <v>CGPA below requirement</v>
      </c>
    </row>
    <row r="307" spans="1:7" x14ac:dyDescent="0.25">
      <c r="A307" t="str">
        <f>Student_Master!A301</f>
        <v>STU0300</v>
      </c>
      <c r="B307" t="str">
        <f>Student_Master!B301</f>
        <v>Kavya Desai</v>
      </c>
      <c r="C307">
        <f>Student_Master!E301</f>
        <v>6.53</v>
      </c>
      <c r="D307">
        <f>Student_Master!H301</f>
        <v>0</v>
      </c>
      <c r="E307" t="str">
        <f>Student_Master!I301</f>
        <v>Excel, Data Analysis, JavaScript</v>
      </c>
      <c r="F307" t="str">
        <f t="shared" si="8"/>
        <v>Not Eligible</v>
      </c>
      <c r="G307" t="str">
        <f t="shared" si="9"/>
        <v>CGPA below requirement</v>
      </c>
    </row>
    <row r="308" spans="1:7" x14ac:dyDescent="0.25">
      <c r="A308" t="str">
        <f>Student_Master!A302</f>
        <v>STU0301</v>
      </c>
      <c r="B308" t="str">
        <f>Student_Master!B302</f>
        <v>Bhavana Mishra</v>
      </c>
      <c r="C308">
        <f>Student_Master!E302</f>
        <v>9.7100000000000009</v>
      </c>
      <c r="D308">
        <f>Student_Master!H302</f>
        <v>0</v>
      </c>
      <c r="E308" t="str">
        <f>Student_Master!I302</f>
        <v>Java, JavaScript</v>
      </c>
      <c r="F308" t="str">
        <f t="shared" si="8"/>
        <v>Not Eligible</v>
      </c>
      <c r="G308" t="str">
        <f t="shared" si="9"/>
        <v>Required skill missing</v>
      </c>
    </row>
    <row r="309" spans="1:7" x14ac:dyDescent="0.25">
      <c r="A309" t="str">
        <f>Student_Master!A303</f>
        <v>STU0302</v>
      </c>
      <c r="B309" t="str">
        <f>Student_Master!B303</f>
        <v>Shreya Gupta</v>
      </c>
      <c r="C309">
        <f>Student_Master!E303</f>
        <v>6.88</v>
      </c>
      <c r="D309">
        <f>Student_Master!H303</f>
        <v>0</v>
      </c>
      <c r="E309" t="str">
        <f>Student_Master!I303</f>
        <v>Java, JavaScript, HTML/CSS, Python, Git</v>
      </c>
      <c r="F309" t="str">
        <f t="shared" si="8"/>
        <v>Not Eligible</v>
      </c>
      <c r="G309" t="str">
        <f t="shared" si="9"/>
        <v>CGPA below requirement</v>
      </c>
    </row>
    <row r="310" spans="1:7" x14ac:dyDescent="0.25">
      <c r="A310" t="str">
        <f>Student_Master!A304</f>
        <v>STU0303</v>
      </c>
      <c r="B310" t="str">
        <f>Student_Master!B304</f>
        <v>Pooja Mishra</v>
      </c>
      <c r="C310">
        <f>Student_Master!E304</f>
        <v>6.88</v>
      </c>
      <c r="D310">
        <f>Student_Master!H304</f>
        <v>0</v>
      </c>
      <c r="E310" t="str">
        <f>Student_Master!I304</f>
        <v>Python, React, Excel</v>
      </c>
      <c r="F310" t="str">
        <f t="shared" si="8"/>
        <v>Not Eligible</v>
      </c>
      <c r="G310" t="str">
        <f t="shared" si="9"/>
        <v>CGPA below requirement</v>
      </c>
    </row>
    <row r="311" spans="1:7" x14ac:dyDescent="0.25">
      <c r="A311" t="str">
        <f>Student_Master!A305</f>
        <v>STU0304</v>
      </c>
      <c r="B311" t="str">
        <f>Student_Master!B305</f>
        <v>Suraj Kumar</v>
      </c>
      <c r="C311">
        <f>Student_Master!E305</f>
        <v>7</v>
      </c>
      <c r="D311">
        <f>Student_Master!H305</f>
        <v>0</v>
      </c>
      <c r="E311" t="str">
        <f>Student_Master!I305</f>
        <v>Excel, Java, Power BI</v>
      </c>
      <c r="F311" t="str">
        <f t="shared" si="8"/>
        <v>Not Eligible</v>
      </c>
      <c r="G311" t="str">
        <f t="shared" si="9"/>
        <v>CGPA below requirement</v>
      </c>
    </row>
    <row r="312" spans="1:7" x14ac:dyDescent="0.25">
      <c r="A312" t="str">
        <f>Student_Master!A306</f>
        <v>STU0305</v>
      </c>
      <c r="B312" t="str">
        <f>Student_Master!B306</f>
        <v>Kavya Kumar</v>
      </c>
      <c r="C312">
        <f>Student_Master!E306</f>
        <v>7.24</v>
      </c>
      <c r="D312">
        <f>Student_Master!H306</f>
        <v>0</v>
      </c>
      <c r="E312" t="str">
        <f>Student_Master!I306</f>
        <v>SQL, HTML/CSS, Java, Power BI, JavaScript</v>
      </c>
      <c r="F312" t="str">
        <f t="shared" si="8"/>
        <v>Not Eligible</v>
      </c>
      <c r="G312" t="str">
        <f t="shared" si="9"/>
        <v>CGPA below requirement</v>
      </c>
    </row>
    <row r="313" spans="1:7" x14ac:dyDescent="0.25">
      <c r="A313" t="str">
        <f>Student_Master!A307</f>
        <v>STU0306</v>
      </c>
      <c r="B313" t="str">
        <f>Student_Master!B307</f>
        <v>Akash Kulkarni</v>
      </c>
      <c r="C313">
        <f>Student_Master!E307</f>
        <v>7.59</v>
      </c>
      <c r="D313">
        <f>Student_Master!H307</f>
        <v>0</v>
      </c>
      <c r="E313" t="str">
        <f>Student_Master!I307</f>
        <v>Python, HTML/CSS, JavaScript</v>
      </c>
      <c r="F313" t="str">
        <f t="shared" si="8"/>
        <v>Not Eligible</v>
      </c>
      <c r="G313" t="str">
        <f t="shared" si="9"/>
        <v>Required skill missing</v>
      </c>
    </row>
    <row r="314" spans="1:7" x14ac:dyDescent="0.25">
      <c r="A314" t="str">
        <f>Student_Master!A308</f>
        <v>STU0307</v>
      </c>
      <c r="B314" t="str">
        <f>Student_Master!B308</f>
        <v>Bhavana Sharma</v>
      </c>
      <c r="C314">
        <f>Student_Master!E308</f>
        <v>7.05</v>
      </c>
      <c r="D314">
        <f>Student_Master!H308</f>
        <v>0</v>
      </c>
      <c r="E314" t="str">
        <f>Student_Master!I308</f>
        <v>Power BI, React, HTML/CSS, Data Analysis, Git</v>
      </c>
      <c r="F314" t="str">
        <f t="shared" si="8"/>
        <v>Not Eligible</v>
      </c>
      <c r="G314" t="str">
        <f t="shared" si="9"/>
        <v>CGPA below requirement</v>
      </c>
    </row>
    <row r="315" spans="1:7" x14ac:dyDescent="0.25">
      <c r="A315" t="str">
        <f>Student_Master!A309</f>
        <v>STU0308</v>
      </c>
      <c r="B315" t="str">
        <f>Student_Master!B309</f>
        <v>Rahul Patil</v>
      </c>
      <c r="C315">
        <f>Student_Master!E309</f>
        <v>6.74</v>
      </c>
      <c r="D315">
        <f>Student_Master!H309</f>
        <v>0</v>
      </c>
      <c r="E315" t="str">
        <f>Student_Master!I309</f>
        <v>Python, JavaScript, SQL</v>
      </c>
      <c r="F315" t="str">
        <f t="shared" si="8"/>
        <v>Not Eligible</v>
      </c>
      <c r="G315" t="str">
        <f t="shared" si="9"/>
        <v>CGPA below requirement</v>
      </c>
    </row>
    <row r="316" spans="1:7" x14ac:dyDescent="0.25">
      <c r="A316" t="str">
        <f>Student_Master!A310</f>
        <v>STU0309</v>
      </c>
      <c r="B316" t="str">
        <f>Student_Master!B310</f>
        <v>Sanjay Shetty</v>
      </c>
      <c r="C316">
        <f>Student_Master!E310</f>
        <v>7.9</v>
      </c>
      <c r="D316">
        <f>Student_Master!H310</f>
        <v>0</v>
      </c>
      <c r="E316" t="str">
        <f>Student_Master!I310</f>
        <v>JavaScript, Power BI</v>
      </c>
      <c r="F316" t="str">
        <f t="shared" si="8"/>
        <v>Eligible</v>
      </c>
      <c r="G316" t="str">
        <f t="shared" si="9"/>
        <v>Eligible</v>
      </c>
    </row>
    <row r="317" spans="1:7" x14ac:dyDescent="0.25">
      <c r="A317" t="str">
        <f>Student_Master!A311</f>
        <v>STU0310</v>
      </c>
      <c r="B317" t="str">
        <f>Student_Master!B311</f>
        <v>Rahul Kulkarni</v>
      </c>
      <c r="C317">
        <f>Student_Master!E311</f>
        <v>9.15</v>
      </c>
      <c r="D317">
        <f>Student_Master!H311</f>
        <v>1</v>
      </c>
      <c r="E317" t="str">
        <f>Student_Master!I311</f>
        <v>React, Git, Power BI, Data Analysis</v>
      </c>
      <c r="F317" t="str">
        <f t="shared" si="8"/>
        <v>Not Eligible</v>
      </c>
      <c r="G317" t="str">
        <f t="shared" si="9"/>
        <v>Too many backlogs</v>
      </c>
    </row>
    <row r="318" spans="1:7" x14ac:dyDescent="0.25">
      <c r="A318" t="str">
        <f>Student_Master!A312</f>
        <v>STU0311</v>
      </c>
      <c r="B318" t="str">
        <f>Student_Master!B312</f>
        <v>Ishita Sharma</v>
      </c>
      <c r="C318">
        <f>Student_Master!E312</f>
        <v>8.8000000000000007</v>
      </c>
      <c r="D318">
        <f>Student_Master!H312</f>
        <v>0</v>
      </c>
      <c r="E318" t="str">
        <f>Student_Master!I312</f>
        <v>HTML/CSS, React, Java, JavaScript</v>
      </c>
      <c r="F318" t="str">
        <f t="shared" si="8"/>
        <v>Not Eligible</v>
      </c>
      <c r="G318" t="str">
        <f t="shared" si="9"/>
        <v>Required skill missing</v>
      </c>
    </row>
    <row r="319" spans="1:7" x14ac:dyDescent="0.25">
      <c r="A319" t="str">
        <f>Student_Master!A313</f>
        <v>STU0312</v>
      </c>
      <c r="B319" t="str">
        <f>Student_Master!B313</f>
        <v>Rohan Gupta</v>
      </c>
      <c r="C319">
        <f>Student_Master!E313</f>
        <v>9.06</v>
      </c>
      <c r="D319">
        <f>Student_Master!H313</f>
        <v>0</v>
      </c>
      <c r="E319" t="str">
        <f>Student_Master!I313</f>
        <v>React, Git</v>
      </c>
      <c r="F319" t="str">
        <f t="shared" si="8"/>
        <v>Not Eligible</v>
      </c>
      <c r="G319" t="str">
        <f t="shared" si="9"/>
        <v>Required skill missing</v>
      </c>
    </row>
    <row r="320" spans="1:7" x14ac:dyDescent="0.25">
      <c r="A320" t="str">
        <f>Student_Master!A314</f>
        <v>STU0313</v>
      </c>
      <c r="B320" t="str">
        <f>Student_Master!B314</f>
        <v>Varun Jain</v>
      </c>
      <c r="C320">
        <f>Student_Master!E314</f>
        <v>7.29</v>
      </c>
      <c r="D320">
        <f>Student_Master!H314</f>
        <v>0</v>
      </c>
      <c r="E320" t="str">
        <f>Student_Master!I314</f>
        <v>JavaScript, Git, Java</v>
      </c>
      <c r="F320" t="str">
        <f t="shared" si="8"/>
        <v>Not Eligible</v>
      </c>
      <c r="G320" t="str">
        <f t="shared" si="9"/>
        <v>CGPA below requirement</v>
      </c>
    </row>
    <row r="321" spans="1:7" x14ac:dyDescent="0.25">
      <c r="A321" t="str">
        <f>Student_Master!A315</f>
        <v>STU0314</v>
      </c>
      <c r="B321" t="str">
        <f>Student_Master!B315</f>
        <v>Nikhil Joshi</v>
      </c>
      <c r="C321">
        <f>Student_Master!E315</f>
        <v>8.39</v>
      </c>
      <c r="D321">
        <f>Student_Master!H315</f>
        <v>0</v>
      </c>
      <c r="E321" t="str">
        <f>Student_Master!I315</f>
        <v>Python, Git</v>
      </c>
      <c r="F321" t="str">
        <f t="shared" si="8"/>
        <v>Not Eligible</v>
      </c>
      <c r="G321" t="str">
        <f t="shared" si="9"/>
        <v>Required skill missing</v>
      </c>
    </row>
    <row r="322" spans="1:7" x14ac:dyDescent="0.25">
      <c r="A322" t="str">
        <f>Student_Master!A316</f>
        <v>STU0315</v>
      </c>
      <c r="B322" t="str">
        <f>Student_Master!B316</f>
        <v>Divya Reddy</v>
      </c>
      <c r="C322">
        <f>Student_Master!E316</f>
        <v>7.08</v>
      </c>
      <c r="D322">
        <f>Student_Master!H316</f>
        <v>0</v>
      </c>
      <c r="E322" t="str">
        <f>Student_Master!I316</f>
        <v>Power BI, Git</v>
      </c>
      <c r="F322" t="str">
        <f t="shared" si="8"/>
        <v>Not Eligible</v>
      </c>
      <c r="G322" t="str">
        <f t="shared" si="9"/>
        <v>CGPA below requirement</v>
      </c>
    </row>
    <row r="323" spans="1:7" x14ac:dyDescent="0.25">
      <c r="A323" t="str">
        <f>Student_Master!A317</f>
        <v>STU0316</v>
      </c>
      <c r="B323" t="str">
        <f>Student_Master!B317</f>
        <v>Harsh Desai</v>
      </c>
      <c r="C323">
        <f>Student_Master!E317</f>
        <v>7.77</v>
      </c>
      <c r="D323">
        <f>Student_Master!H317</f>
        <v>1</v>
      </c>
      <c r="E323" t="str">
        <f>Student_Master!I317</f>
        <v>React, Excel, HTML/CSS, Data Analysis</v>
      </c>
      <c r="F323" t="str">
        <f t="shared" si="8"/>
        <v>Not Eligible</v>
      </c>
      <c r="G323" t="str">
        <f t="shared" si="9"/>
        <v>Too many backlogs</v>
      </c>
    </row>
    <row r="324" spans="1:7" x14ac:dyDescent="0.25">
      <c r="A324" t="str">
        <f>Student_Master!A318</f>
        <v>STU0317</v>
      </c>
      <c r="B324" t="str">
        <f>Student_Master!B318</f>
        <v>Suraj Patil</v>
      </c>
      <c r="C324">
        <f>Student_Master!E318</f>
        <v>7.68</v>
      </c>
      <c r="D324">
        <f>Student_Master!H318</f>
        <v>1</v>
      </c>
      <c r="E324" t="str">
        <f>Student_Master!I318</f>
        <v>SQL, Java</v>
      </c>
      <c r="F324" t="str">
        <f t="shared" si="8"/>
        <v>Not Eligible</v>
      </c>
      <c r="G324" t="str">
        <f t="shared" si="9"/>
        <v>Too many backlogs</v>
      </c>
    </row>
    <row r="325" spans="1:7" x14ac:dyDescent="0.25">
      <c r="A325" t="str">
        <f>Student_Master!A319</f>
        <v>STU0318</v>
      </c>
      <c r="B325" t="str">
        <f>Student_Master!B319</f>
        <v>Ananya Joshi</v>
      </c>
      <c r="C325">
        <f>Student_Master!E319</f>
        <v>8.74</v>
      </c>
      <c r="D325">
        <f>Student_Master!H319</f>
        <v>0</v>
      </c>
      <c r="E325" t="str">
        <f>Student_Master!I319</f>
        <v>Power BI, HTML/CSS, Python, Data Analysis, JavaScript</v>
      </c>
      <c r="F325" t="str">
        <f t="shared" si="8"/>
        <v>Eligible</v>
      </c>
      <c r="G325" t="str">
        <f t="shared" si="9"/>
        <v>Eligible</v>
      </c>
    </row>
    <row r="326" spans="1:7" x14ac:dyDescent="0.25">
      <c r="A326" t="str">
        <f>Student_Master!A320</f>
        <v>STU0319</v>
      </c>
      <c r="B326" t="str">
        <f>Student_Master!B320</f>
        <v>Manoj Gupta</v>
      </c>
      <c r="C326">
        <f>Student_Master!E320</f>
        <v>7</v>
      </c>
      <c r="D326">
        <f>Student_Master!H320</f>
        <v>0</v>
      </c>
      <c r="E326" t="str">
        <f>Student_Master!I320</f>
        <v>Java, JavaScript</v>
      </c>
      <c r="F326" t="str">
        <f t="shared" si="8"/>
        <v>Not Eligible</v>
      </c>
      <c r="G326" t="str">
        <f t="shared" si="9"/>
        <v>CGPA below requirement</v>
      </c>
    </row>
    <row r="327" spans="1:7" x14ac:dyDescent="0.25">
      <c r="A327" t="str">
        <f>Student_Master!A321</f>
        <v>STU0320</v>
      </c>
      <c r="B327" t="str">
        <f>Student_Master!B321</f>
        <v>Pranav Patil</v>
      </c>
      <c r="C327">
        <f>Student_Master!E321</f>
        <v>8.1199999999999992</v>
      </c>
      <c r="D327">
        <f>Student_Master!H321</f>
        <v>0</v>
      </c>
      <c r="E327" t="str">
        <f>Student_Master!I321</f>
        <v>Java, Python</v>
      </c>
      <c r="F327" t="str">
        <f t="shared" si="8"/>
        <v>Not Eligible</v>
      </c>
      <c r="G327" t="str">
        <f t="shared" si="9"/>
        <v>Required skill missing</v>
      </c>
    </row>
    <row r="328" spans="1:7" x14ac:dyDescent="0.25">
      <c r="A328" t="str">
        <f>Student_Master!A322</f>
        <v>STU0321</v>
      </c>
      <c r="B328" t="str">
        <f>Student_Master!B322</f>
        <v>Manoj Singh</v>
      </c>
      <c r="C328">
        <f>Student_Master!E322</f>
        <v>8.3800000000000008</v>
      </c>
      <c r="D328">
        <f>Student_Master!H322</f>
        <v>0</v>
      </c>
      <c r="E328" t="str">
        <f>Student_Master!I322</f>
        <v>HTML/CSS, Data Analysis, Git</v>
      </c>
      <c r="F328" t="str">
        <f t="shared" si="8"/>
        <v>Not Eligible</v>
      </c>
      <c r="G328" t="str">
        <f t="shared" si="9"/>
        <v>Required skill missing</v>
      </c>
    </row>
    <row r="329" spans="1:7" x14ac:dyDescent="0.25">
      <c r="A329" t="str">
        <f>Student_Master!A323</f>
        <v>STU0322</v>
      </c>
      <c r="B329" t="str">
        <f>Student_Master!B323</f>
        <v>Pranav Mishra</v>
      </c>
      <c r="C329">
        <f>Student_Master!E323</f>
        <v>9.39</v>
      </c>
      <c r="D329">
        <f>Student_Master!H323</f>
        <v>0</v>
      </c>
      <c r="E329" t="str">
        <f>Student_Master!I323</f>
        <v>Java, Python, HTML/CSS, Data Analysis, React</v>
      </c>
      <c r="F329" t="str">
        <f t="shared" ref="F329:F392" si="10">IF(AND(C329&gt;=$E$3,D329&lt;=$E$4,ISNUMBER(SEARCH($E$5,E329))),"Eligible","Not Eligible")</f>
        <v>Not Eligible</v>
      </c>
      <c r="G329" t="str">
        <f t="shared" ref="G329:G392" si="11">IF(C329&lt;$E$3,"CGPA below requirement",IF(D329&gt;$E$4,"Too many backlogs",IF(NOT(ISNUMBER(SEARCH($E$5,E329))),"Required skill missing","Eligible")))</f>
        <v>Required skill missing</v>
      </c>
    </row>
    <row r="330" spans="1:7" x14ac:dyDescent="0.25">
      <c r="A330" t="str">
        <f>Student_Master!A324</f>
        <v>STU0323</v>
      </c>
      <c r="B330" t="str">
        <f>Student_Master!B324</f>
        <v>Tanvi Jain</v>
      </c>
      <c r="C330">
        <f>Student_Master!E324</f>
        <v>7.92</v>
      </c>
      <c r="D330">
        <f>Student_Master!H324</f>
        <v>0</v>
      </c>
      <c r="E330" t="str">
        <f>Student_Master!I324</f>
        <v>Excel, Data Analysis, JavaScript, HTML/CSS, SQL</v>
      </c>
      <c r="F330" t="str">
        <f t="shared" si="10"/>
        <v>Not Eligible</v>
      </c>
      <c r="G330" t="str">
        <f t="shared" si="11"/>
        <v>Required skill missing</v>
      </c>
    </row>
    <row r="331" spans="1:7" x14ac:dyDescent="0.25">
      <c r="A331" t="str">
        <f>Student_Master!A325</f>
        <v>STU0324</v>
      </c>
      <c r="B331" t="str">
        <f>Student_Master!B325</f>
        <v>Aditi Shetty</v>
      </c>
      <c r="C331">
        <f>Student_Master!E325</f>
        <v>8.68</v>
      </c>
      <c r="D331">
        <f>Student_Master!H325</f>
        <v>0</v>
      </c>
      <c r="E331" t="str">
        <f>Student_Master!I325</f>
        <v>Data Analysis, Python, Power BI, Git, Java</v>
      </c>
      <c r="F331" t="str">
        <f t="shared" si="10"/>
        <v>Eligible</v>
      </c>
      <c r="G331" t="str">
        <f t="shared" si="11"/>
        <v>Eligible</v>
      </c>
    </row>
    <row r="332" spans="1:7" x14ac:dyDescent="0.25">
      <c r="A332" t="str">
        <f>Student_Master!A326</f>
        <v>STU0325</v>
      </c>
      <c r="B332" t="str">
        <f>Student_Master!B326</f>
        <v>Pranav Nair</v>
      </c>
      <c r="C332">
        <f>Student_Master!E326</f>
        <v>6.61</v>
      </c>
      <c r="D332">
        <f>Student_Master!H326</f>
        <v>0</v>
      </c>
      <c r="E332" t="str">
        <f>Student_Master!I326</f>
        <v>React, Data Analysis, Power BI, Excel, Python</v>
      </c>
      <c r="F332" t="str">
        <f t="shared" si="10"/>
        <v>Not Eligible</v>
      </c>
      <c r="G332" t="str">
        <f t="shared" si="11"/>
        <v>CGPA below requirement</v>
      </c>
    </row>
    <row r="333" spans="1:7" x14ac:dyDescent="0.25">
      <c r="A333" t="str">
        <f>Student_Master!A327</f>
        <v>STU0326</v>
      </c>
      <c r="B333" t="str">
        <f>Student_Master!B327</f>
        <v>Deepak Verma</v>
      </c>
      <c r="C333">
        <f>Student_Master!E327</f>
        <v>7.67</v>
      </c>
      <c r="D333">
        <f>Student_Master!H327</f>
        <v>0</v>
      </c>
      <c r="E333" t="str">
        <f>Student_Master!I327</f>
        <v>HTML/CSS, Excel, Power BI, React, Data Analysis</v>
      </c>
      <c r="F333" t="str">
        <f t="shared" si="10"/>
        <v>Eligible</v>
      </c>
      <c r="G333" t="str">
        <f t="shared" si="11"/>
        <v>Eligible</v>
      </c>
    </row>
    <row r="334" spans="1:7" x14ac:dyDescent="0.25">
      <c r="A334" t="str">
        <f>Student_Master!A328</f>
        <v>STU0327</v>
      </c>
      <c r="B334" t="str">
        <f>Student_Master!B328</f>
        <v>Kavya Naik</v>
      </c>
      <c r="C334">
        <f>Student_Master!E328</f>
        <v>8.6999999999999993</v>
      </c>
      <c r="D334">
        <f>Student_Master!H328</f>
        <v>0</v>
      </c>
      <c r="E334" t="str">
        <f>Student_Master!I328</f>
        <v>Git, Python, JavaScript</v>
      </c>
      <c r="F334" t="str">
        <f t="shared" si="10"/>
        <v>Not Eligible</v>
      </c>
      <c r="G334" t="str">
        <f t="shared" si="11"/>
        <v>Required skill missing</v>
      </c>
    </row>
    <row r="335" spans="1:7" x14ac:dyDescent="0.25">
      <c r="A335" t="str">
        <f>Student_Master!A329</f>
        <v>STU0328</v>
      </c>
      <c r="B335" t="str">
        <f>Student_Master!B329</f>
        <v>Yash Singh</v>
      </c>
      <c r="C335">
        <f>Student_Master!E329</f>
        <v>6.47</v>
      </c>
      <c r="D335">
        <f>Student_Master!H329</f>
        <v>0</v>
      </c>
      <c r="E335" t="str">
        <f>Student_Master!I329</f>
        <v>Data Analysis, React, HTML/CSS</v>
      </c>
      <c r="F335" t="str">
        <f t="shared" si="10"/>
        <v>Not Eligible</v>
      </c>
      <c r="G335" t="str">
        <f t="shared" si="11"/>
        <v>CGPA below requirement</v>
      </c>
    </row>
    <row r="336" spans="1:7" x14ac:dyDescent="0.25">
      <c r="A336" t="str">
        <f>Student_Master!A330</f>
        <v>STU0329</v>
      </c>
      <c r="B336" t="str">
        <f>Student_Master!B330</f>
        <v>Aarav Patil</v>
      </c>
      <c r="C336">
        <f>Student_Master!E330</f>
        <v>7.52</v>
      </c>
      <c r="D336">
        <f>Student_Master!H330</f>
        <v>0</v>
      </c>
      <c r="E336" t="str">
        <f>Student_Master!I330</f>
        <v>JavaScript, Data Analysis, Power BI</v>
      </c>
      <c r="F336" t="str">
        <f t="shared" si="10"/>
        <v>Eligible</v>
      </c>
      <c r="G336" t="str">
        <f t="shared" si="11"/>
        <v>Eligible</v>
      </c>
    </row>
    <row r="337" spans="1:7" x14ac:dyDescent="0.25">
      <c r="A337" t="str">
        <f>Student_Master!A331</f>
        <v>STU0330</v>
      </c>
      <c r="B337" t="str">
        <f>Student_Master!B331</f>
        <v>Pranav Mishra</v>
      </c>
      <c r="C337">
        <f>Student_Master!E331</f>
        <v>7.87</v>
      </c>
      <c r="D337">
        <f>Student_Master!H331</f>
        <v>0</v>
      </c>
      <c r="E337" t="str">
        <f>Student_Master!I331</f>
        <v>Java, HTML/CSS, Excel</v>
      </c>
      <c r="F337" t="str">
        <f t="shared" si="10"/>
        <v>Not Eligible</v>
      </c>
      <c r="G337" t="str">
        <f t="shared" si="11"/>
        <v>Required skill missing</v>
      </c>
    </row>
    <row r="338" spans="1:7" x14ac:dyDescent="0.25">
      <c r="A338" t="str">
        <f>Student_Master!A332</f>
        <v>STU0331</v>
      </c>
      <c r="B338" t="str">
        <f>Student_Master!B332</f>
        <v>Suraj Reddy</v>
      </c>
      <c r="C338">
        <f>Student_Master!E332</f>
        <v>5.95</v>
      </c>
      <c r="D338">
        <f>Student_Master!H332</f>
        <v>0</v>
      </c>
      <c r="E338" t="str">
        <f>Student_Master!I332</f>
        <v>Java, Power BI, Data Analysis</v>
      </c>
      <c r="F338" t="str">
        <f t="shared" si="10"/>
        <v>Not Eligible</v>
      </c>
      <c r="G338" t="str">
        <f t="shared" si="11"/>
        <v>CGPA below requirement</v>
      </c>
    </row>
    <row r="339" spans="1:7" x14ac:dyDescent="0.25">
      <c r="A339" t="str">
        <f>Student_Master!A333</f>
        <v>STU0332</v>
      </c>
      <c r="B339" t="str">
        <f>Student_Master!B333</f>
        <v>Akash Patil</v>
      </c>
      <c r="C339">
        <f>Student_Master!E333</f>
        <v>6.49</v>
      </c>
      <c r="D339">
        <f>Student_Master!H333</f>
        <v>0</v>
      </c>
      <c r="E339" t="str">
        <f>Student_Master!I333</f>
        <v>Git, Power BI</v>
      </c>
      <c r="F339" t="str">
        <f t="shared" si="10"/>
        <v>Not Eligible</v>
      </c>
      <c r="G339" t="str">
        <f t="shared" si="11"/>
        <v>CGPA below requirement</v>
      </c>
    </row>
    <row r="340" spans="1:7" x14ac:dyDescent="0.25">
      <c r="A340" t="str">
        <f>Student_Master!A334</f>
        <v>STU0333</v>
      </c>
      <c r="B340" t="str">
        <f>Student_Master!B334</f>
        <v>Arjun Kumar</v>
      </c>
      <c r="C340">
        <f>Student_Master!E334</f>
        <v>9.32</v>
      </c>
      <c r="D340">
        <f>Student_Master!H334</f>
        <v>0</v>
      </c>
      <c r="E340" t="str">
        <f>Student_Master!I334</f>
        <v>Git, Excel, JavaScript</v>
      </c>
      <c r="F340" t="str">
        <f t="shared" si="10"/>
        <v>Not Eligible</v>
      </c>
      <c r="G340" t="str">
        <f t="shared" si="11"/>
        <v>Required skill missing</v>
      </c>
    </row>
    <row r="341" spans="1:7" x14ac:dyDescent="0.25">
      <c r="A341" t="str">
        <f>Student_Master!A335</f>
        <v>STU0334</v>
      </c>
      <c r="B341" t="str">
        <f>Student_Master!B335</f>
        <v>Karan Reddy</v>
      </c>
      <c r="C341">
        <f>Student_Master!E335</f>
        <v>6</v>
      </c>
      <c r="D341">
        <f>Student_Master!H335</f>
        <v>0</v>
      </c>
      <c r="E341" t="str">
        <f>Student_Master!I335</f>
        <v>Java, JavaScript</v>
      </c>
      <c r="F341" t="str">
        <f t="shared" si="10"/>
        <v>Not Eligible</v>
      </c>
      <c r="G341" t="str">
        <f t="shared" si="11"/>
        <v>CGPA below requirement</v>
      </c>
    </row>
    <row r="342" spans="1:7" x14ac:dyDescent="0.25">
      <c r="A342" t="str">
        <f>Student_Master!A336</f>
        <v>STU0335</v>
      </c>
      <c r="B342" t="str">
        <f>Student_Master!B336</f>
        <v>Rahul Jain</v>
      </c>
      <c r="C342">
        <f>Student_Master!E336</f>
        <v>8.7799999999999994</v>
      </c>
      <c r="D342">
        <f>Student_Master!H336</f>
        <v>0</v>
      </c>
      <c r="E342" t="str">
        <f>Student_Master!I336</f>
        <v>Python, Git, React, Power BI, SQL</v>
      </c>
      <c r="F342" t="str">
        <f t="shared" si="10"/>
        <v>Eligible</v>
      </c>
      <c r="G342" t="str">
        <f t="shared" si="11"/>
        <v>Eligible</v>
      </c>
    </row>
    <row r="343" spans="1:7" x14ac:dyDescent="0.25">
      <c r="A343" t="str">
        <f>Student_Master!A337</f>
        <v>STU0336</v>
      </c>
      <c r="B343" t="str">
        <f>Student_Master!B337</f>
        <v>Kavya Jain</v>
      </c>
      <c r="C343">
        <f>Student_Master!E337</f>
        <v>6.09</v>
      </c>
      <c r="D343">
        <f>Student_Master!H337</f>
        <v>2</v>
      </c>
      <c r="E343" t="str">
        <f>Student_Master!I337</f>
        <v>SQL, JavaScript</v>
      </c>
      <c r="F343" t="str">
        <f t="shared" si="10"/>
        <v>Not Eligible</v>
      </c>
      <c r="G343" t="str">
        <f t="shared" si="11"/>
        <v>CGPA below requirement</v>
      </c>
    </row>
    <row r="344" spans="1:7" x14ac:dyDescent="0.25">
      <c r="A344" t="str">
        <f>Student_Master!A338</f>
        <v>STU0337</v>
      </c>
      <c r="B344" t="str">
        <f>Student_Master!B338</f>
        <v>Yash Reddy</v>
      </c>
      <c r="C344">
        <f>Student_Master!E338</f>
        <v>6.48</v>
      </c>
      <c r="D344">
        <f>Student_Master!H338</f>
        <v>1</v>
      </c>
      <c r="E344" t="str">
        <f>Student_Master!I338</f>
        <v>React, Excel, Java</v>
      </c>
      <c r="F344" t="str">
        <f t="shared" si="10"/>
        <v>Not Eligible</v>
      </c>
      <c r="G344" t="str">
        <f t="shared" si="11"/>
        <v>CGPA below requirement</v>
      </c>
    </row>
    <row r="345" spans="1:7" x14ac:dyDescent="0.25">
      <c r="A345" t="str">
        <f>Student_Master!A339</f>
        <v>STU0338</v>
      </c>
      <c r="B345" t="str">
        <f>Student_Master!B339</f>
        <v>Deepak Nair</v>
      </c>
      <c r="C345">
        <f>Student_Master!E339</f>
        <v>6.02</v>
      </c>
      <c r="D345">
        <f>Student_Master!H339</f>
        <v>1</v>
      </c>
      <c r="E345" t="str">
        <f>Student_Master!I339</f>
        <v>Excel, HTML/CSS, SQL, Python</v>
      </c>
      <c r="F345" t="str">
        <f t="shared" si="10"/>
        <v>Not Eligible</v>
      </c>
      <c r="G345" t="str">
        <f t="shared" si="11"/>
        <v>CGPA below requirement</v>
      </c>
    </row>
    <row r="346" spans="1:7" x14ac:dyDescent="0.25">
      <c r="A346" t="str">
        <f>Student_Master!A340</f>
        <v>STU0339</v>
      </c>
      <c r="B346" t="str">
        <f>Student_Master!B340</f>
        <v>Aditi Naik</v>
      </c>
      <c r="C346">
        <f>Student_Master!E340</f>
        <v>7.76</v>
      </c>
      <c r="D346">
        <f>Student_Master!H340</f>
        <v>0</v>
      </c>
      <c r="E346" t="str">
        <f>Student_Master!I340</f>
        <v>Git, Data Analysis, Excel, Python, SQL</v>
      </c>
      <c r="F346" t="str">
        <f t="shared" si="10"/>
        <v>Not Eligible</v>
      </c>
      <c r="G346" t="str">
        <f t="shared" si="11"/>
        <v>Required skill missing</v>
      </c>
    </row>
    <row r="347" spans="1:7" x14ac:dyDescent="0.25">
      <c r="A347" t="str">
        <f>Student_Master!A341</f>
        <v>STU0340</v>
      </c>
      <c r="B347" t="str">
        <f>Student_Master!B341</f>
        <v>Manoj Verma</v>
      </c>
      <c r="C347">
        <f>Student_Master!E341</f>
        <v>7.35</v>
      </c>
      <c r="D347">
        <f>Student_Master!H341</f>
        <v>0</v>
      </c>
      <c r="E347" t="str">
        <f>Student_Master!I341</f>
        <v>Excel, Power BI</v>
      </c>
      <c r="F347" t="str">
        <f t="shared" si="10"/>
        <v>Not Eligible</v>
      </c>
      <c r="G347" t="str">
        <f t="shared" si="11"/>
        <v>CGPA below requirement</v>
      </c>
    </row>
    <row r="348" spans="1:7" x14ac:dyDescent="0.25">
      <c r="A348" t="str">
        <f>Student_Master!A342</f>
        <v>STU0341</v>
      </c>
      <c r="B348" t="str">
        <f>Student_Master!B342</f>
        <v>Bhavana Sharma</v>
      </c>
      <c r="C348">
        <f>Student_Master!E342</f>
        <v>7.74</v>
      </c>
      <c r="D348">
        <f>Student_Master!H342</f>
        <v>0</v>
      </c>
      <c r="E348" t="str">
        <f>Student_Master!I342</f>
        <v>Data Analysis, Excel, Git, SQL, Power BI</v>
      </c>
      <c r="F348" t="str">
        <f t="shared" si="10"/>
        <v>Eligible</v>
      </c>
      <c r="G348" t="str">
        <f t="shared" si="11"/>
        <v>Eligible</v>
      </c>
    </row>
    <row r="349" spans="1:7" x14ac:dyDescent="0.25">
      <c r="A349" t="str">
        <f>Student_Master!A343</f>
        <v>STU0342</v>
      </c>
      <c r="B349" t="str">
        <f>Student_Master!B343</f>
        <v>Divya Shetty</v>
      </c>
      <c r="C349">
        <f>Student_Master!E343</f>
        <v>7.22</v>
      </c>
      <c r="D349">
        <f>Student_Master!H343</f>
        <v>2</v>
      </c>
      <c r="E349" t="str">
        <f>Student_Master!I343</f>
        <v>Excel, Power BI, JavaScript, React</v>
      </c>
      <c r="F349" t="str">
        <f t="shared" si="10"/>
        <v>Not Eligible</v>
      </c>
      <c r="G349" t="str">
        <f t="shared" si="11"/>
        <v>CGPA below requirement</v>
      </c>
    </row>
    <row r="350" spans="1:7" x14ac:dyDescent="0.25">
      <c r="A350" t="str">
        <f>Student_Master!A344</f>
        <v>STU0343</v>
      </c>
      <c r="B350" t="str">
        <f>Student_Master!B344</f>
        <v>Rahul Shetty</v>
      </c>
      <c r="C350">
        <f>Student_Master!E344</f>
        <v>8.43</v>
      </c>
      <c r="D350">
        <f>Student_Master!H344</f>
        <v>2</v>
      </c>
      <c r="E350" t="str">
        <f>Student_Master!I344</f>
        <v>JavaScript, Java, Python</v>
      </c>
      <c r="F350" t="str">
        <f t="shared" si="10"/>
        <v>Not Eligible</v>
      </c>
      <c r="G350" t="str">
        <f t="shared" si="11"/>
        <v>Too many backlogs</v>
      </c>
    </row>
    <row r="351" spans="1:7" x14ac:dyDescent="0.25">
      <c r="A351" t="str">
        <f>Student_Master!A345</f>
        <v>STU0344</v>
      </c>
      <c r="B351" t="str">
        <f>Student_Master!B345</f>
        <v>Karan Reddy</v>
      </c>
      <c r="C351">
        <f>Student_Master!E345</f>
        <v>6.35</v>
      </c>
      <c r="D351">
        <f>Student_Master!H345</f>
        <v>1</v>
      </c>
      <c r="E351" t="str">
        <f>Student_Master!I345</f>
        <v>Data Analysis, Python, JavaScript, React</v>
      </c>
      <c r="F351" t="str">
        <f t="shared" si="10"/>
        <v>Not Eligible</v>
      </c>
      <c r="G351" t="str">
        <f t="shared" si="11"/>
        <v>CGPA below requirement</v>
      </c>
    </row>
    <row r="352" spans="1:7" x14ac:dyDescent="0.25">
      <c r="A352" t="str">
        <f>Student_Master!A346</f>
        <v>STU0345</v>
      </c>
      <c r="B352" t="str">
        <f>Student_Master!B346</f>
        <v>Arjun Kulkarni</v>
      </c>
      <c r="C352">
        <f>Student_Master!E346</f>
        <v>7.07</v>
      </c>
      <c r="D352">
        <f>Student_Master!H346</f>
        <v>0</v>
      </c>
      <c r="E352" t="str">
        <f>Student_Master!I346</f>
        <v>JavaScript, Power BI, React, HTML/CSS, Git</v>
      </c>
      <c r="F352" t="str">
        <f t="shared" si="10"/>
        <v>Not Eligible</v>
      </c>
      <c r="G352" t="str">
        <f t="shared" si="11"/>
        <v>CGPA below requirement</v>
      </c>
    </row>
    <row r="353" spans="1:7" x14ac:dyDescent="0.25">
      <c r="A353" t="str">
        <f>Student_Master!A347</f>
        <v>STU0346</v>
      </c>
      <c r="B353" t="str">
        <f>Student_Master!B347</f>
        <v>Nisha Singh</v>
      </c>
      <c r="C353">
        <f>Student_Master!E347</f>
        <v>8.27</v>
      </c>
      <c r="D353">
        <f>Student_Master!H347</f>
        <v>0</v>
      </c>
      <c r="E353" t="str">
        <f>Student_Master!I347</f>
        <v>Excel, HTML/CSS, SQL</v>
      </c>
      <c r="F353" t="str">
        <f t="shared" si="10"/>
        <v>Not Eligible</v>
      </c>
      <c r="G353" t="str">
        <f t="shared" si="11"/>
        <v>Required skill missing</v>
      </c>
    </row>
    <row r="354" spans="1:7" x14ac:dyDescent="0.25">
      <c r="A354" t="str">
        <f>Student_Master!A348</f>
        <v>STU0347</v>
      </c>
      <c r="B354" t="str">
        <f>Student_Master!B348</f>
        <v>Tanvi Nair</v>
      </c>
      <c r="C354">
        <f>Student_Master!E348</f>
        <v>7.77</v>
      </c>
      <c r="D354">
        <f>Student_Master!H348</f>
        <v>0</v>
      </c>
      <c r="E354" t="str">
        <f>Student_Master!I348</f>
        <v>Power BI, JavaScript</v>
      </c>
      <c r="F354" t="str">
        <f t="shared" si="10"/>
        <v>Eligible</v>
      </c>
      <c r="G354" t="str">
        <f t="shared" si="11"/>
        <v>Eligible</v>
      </c>
    </row>
    <row r="355" spans="1:7" x14ac:dyDescent="0.25">
      <c r="A355" t="str">
        <f>Student_Master!A349</f>
        <v>STU0348</v>
      </c>
      <c r="B355" t="str">
        <f>Student_Master!B349</f>
        <v>Karan Desai</v>
      </c>
      <c r="C355">
        <f>Student_Master!E349</f>
        <v>9.51</v>
      </c>
      <c r="D355">
        <f>Student_Master!H349</f>
        <v>0</v>
      </c>
      <c r="E355" t="str">
        <f>Student_Master!I349</f>
        <v>React, Java, JavaScript, Data Analysis</v>
      </c>
      <c r="F355" t="str">
        <f t="shared" si="10"/>
        <v>Not Eligible</v>
      </c>
      <c r="G355" t="str">
        <f t="shared" si="11"/>
        <v>Required skill missing</v>
      </c>
    </row>
    <row r="356" spans="1:7" x14ac:dyDescent="0.25">
      <c r="A356" t="str">
        <f>Student_Master!A350</f>
        <v>STU0349</v>
      </c>
      <c r="B356" t="str">
        <f>Student_Master!B350</f>
        <v>Sanjay Patil</v>
      </c>
      <c r="C356">
        <f>Student_Master!E350</f>
        <v>6.24</v>
      </c>
      <c r="D356">
        <f>Student_Master!H350</f>
        <v>1</v>
      </c>
      <c r="E356" t="str">
        <f>Student_Master!I350</f>
        <v>Data Analysis, Git, JavaScript</v>
      </c>
      <c r="F356" t="str">
        <f t="shared" si="10"/>
        <v>Not Eligible</v>
      </c>
      <c r="G356" t="str">
        <f t="shared" si="11"/>
        <v>CGPA below requirement</v>
      </c>
    </row>
    <row r="357" spans="1:7" x14ac:dyDescent="0.25">
      <c r="A357" t="str">
        <f>Student_Master!A351</f>
        <v>STU0350</v>
      </c>
      <c r="B357" t="str">
        <f>Student_Master!B351</f>
        <v>Vikas Naik</v>
      </c>
      <c r="C357">
        <f>Student_Master!E351</f>
        <v>7.56</v>
      </c>
      <c r="D357">
        <f>Student_Master!H351</f>
        <v>0</v>
      </c>
      <c r="E357" t="str">
        <f>Student_Master!I351</f>
        <v>JavaScript, Power BI, Excel</v>
      </c>
      <c r="F357" t="str">
        <f t="shared" si="10"/>
        <v>Eligible</v>
      </c>
      <c r="G357" t="str">
        <f t="shared" si="11"/>
        <v>Eligible</v>
      </c>
    </row>
    <row r="358" spans="1:7" x14ac:dyDescent="0.25">
      <c r="A358" t="str">
        <f>Student_Master!A352</f>
        <v>STU0351</v>
      </c>
      <c r="B358" t="str">
        <f>Student_Master!B352</f>
        <v>Neha Nair</v>
      </c>
      <c r="C358">
        <f>Student_Master!E352</f>
        <v>7.8</v>
      </c>
      <c r="D358">
        <f>Student_Master!H352</f>
        <v>1</v>
      </c>
      <c r="E358" t="str">
        <f>Student_Master!I352</f>
        <v>JavaScript, Git, HTML/CSS</v>
      </c>
      <c r="F358" t="str">
        <f t="shared" si="10"/>
        <v>Not Eligible</v>
      </c>
      <c r="G358" t="str">
        <f t="shared" si="11"/>
        <v>Too many backlogs</v>
      </c>
    </row>
    <row r="359" spans="1:7" x14ac:dyDescent="0.25">
      <c r="A359" t="str">
        <f>Student_Master!A353</f>
        <v>STU0352</v>
      </c>
      <c r="B359" t="str">
        <f>Student_Master!B353</f>
        <v>Pooja Desai</v>
      </c>
      <c r="C359">
        <f>Student_Master!E353</f>
        <v>6.8</v>
      </c>
      <c r="D359">
        <f>Student_Master!H353</f>
        <v>1</v>
      </c>
      <c r="E359" t="str">
        <f>Student_Master!I353</f>
        <v>SQL, Git</v>
      </c>
      <c r="F359" t="str">
        <f t="shared" si="10"/>
        <v>Not Eligible</v>
      </c>
      <c r="G359" t="str">
        <f t="shared" si="11"/>
        <v>CGPA below requirement</v>
      </c>
    </row>
    <row r="360" spans="1:7" x14ac:dyDescent="0.25">
      <c r="A360" t="str">
        <f>Student_Master!A354</f>
        <v>STU0353</v>
      </c>
      <c r="B360" t="str">
        <f>Student_Master!B354</f>
        <v>Tanvi Naik</v>
      </c>
      <c r="C360">
        <f>Student_Master!E354</f>
        <v>8</v>
      </c>
      <c r="D360">
        <f>Student_Master!H354</f>
        <v>0</v>
      </c>
      <c r="E360" t="str">
        <f>Student_Master!I354</f>
        <v>Python, Git, Data Analysis</v>
      </c>
      <c r="F360" t="str">
        <f t="shared" si="10"/>
        <v>Not Eligible</v>
      </c>
      <c r="G360" t="str">
        <f t="shared" si="11"/>
        <v>Required skill missing</v>
      </c>
    </row>
    <row r="361" spans="1:7" x14ac:dyDescent="0.25">
      <c r="A361" t="str">
        <f>Student_Master!A355</f>
        <v>STU0354</v>
      </c>
      <c r="B361" t="str">
        <f>Student_Master!B355</f>
        <v>Neha Gowda</v>
      </c>
      <c r="C361">
        <f>Student_Master!E355</f>
        <v>6.27</v>
      </c>
      <c r="D361">
        <f>Student_Master!H355</f>
        <v>0</v>
      </c>
      <c r="E361" t="str">
        <f>Student_Master!I355</f>
        <v>Excel, React, Data Analysis, JavaScript</v>
      </c>
      <c r="F361" t="str">
        <f t="shared" si="10"/>
        <v>Not Eligible</v>
      </c>
      <c r="G361" t="str">
        <f t="shared" si="11"/>
        <v>CGPA below requirement</v>
      </c>
    </row>
    <row r="362" spans="1:7" x14ac:dyDescent="0.25">
      <c r="A362" t="str">
        <f>Student_Master!A356</f>
        <v>STU0355</v>
      </c>
      <c r="B362" t="str">
        <f>Student_Master!B356</f>
        <v>Aditi Kulkarni</v>
      </c>
      <c r="C362">
        <f>Student_Master!E356</f>
        <v>8.16</v>
      </c>
      <c r="D362">
        <f>Student_Master!H356</f>
        <v>0</v>
      </c>
      <c r="E362" t="str">
        <f>Student_Master!I356</f>
        <v>Java, Data Analysis</v>
      </c>
      <c r="F362" t="str">
        <f t="shared" si="10"/>
        <v>Not Eligible</v>
      </c>
      <c r="G362" t="str">
        <f t="shared" si="11"/>
        <v>Required skill missing</v>
      </c>
    </row>
    <row r="363" spans="1:7" x14ac:dyDescent="0.25">
      <c r="A363" t="str">
        <f>Student_Master!A357</f>
        <v>STU0356</v>
      </c>
      <c r="B363" t="str">
        <f>Student_Master!B357</f>
        <v>Shreya Jain</v>
      </c>
      <c r="C363">
        <f>Student_Master!E357</f>
        <v>8.41</v>
      </c>
      <c r="D363">
        <f>Student_Master!H357</f>
        <v>0</v>
      </c>
      <c r="E363" t="str">
        <f>Student_Master!I357</f>
        <v>HTML/CSS, SQL, Excel, React</v>
      </c>
      <c r="F363" t="str">
        <f t="shared" si="10"/>
        <v>Not Eligible</v>
      </c>
      <c r="G363" t="str">
        <f t="shared" si="11"/>
        <v>Required skill missing</v>
      </c>
    </row>
    <row r="364" spans="1:7" x14ac:dyDescent="0.25">
      <c r="A364" t="str">
        <f>Student_Master!A358</f>
        <v>STU0357</v>
      </c>
      <c r="B364" t="str">
        <f>Student_Master!B358</f>
        <v>Ananya Joshi</v>
      </c>
      <c r="C364">
        <f>Student_Master!E358</f>
        <v>8.8000000000000007</v>
      </c>
      <c r="D364">
        <f>Student_Master!H358</f>
        <v>0</v>
      </c>
      <c r="E364" t="str">
        <f>Student_Master!I358</f>
        <v>HTML/CSS, JavaScript, SQL, Data Analysis</v>
      </c>
      <c r="F364" t="str">
        <f t="shared" si="10"/>
        <v>Not Eligible</v>
      </c>
      <c r="G364" t="str">
        <f t="shared" si="11"/>
        <v>Required skill missing</v>
      </c>
    </row>
    <row r="365" spans="1:7" x14ac:dyDescent="0.25">
      <c r="A365" t="str">
        <f>Student_Master!A359</f>
        <v>STU0358</v>
      </c>
      <c r="B365" t="str">
        <f>Student_Master!B359</f>
        <v>Pooja Pillai</v>
      </c>
      <c r="C365">
        <f>Student_Master!E359</f>
        <v>7.9</v>
      </c>
      <c r="D365">
        <f>Student_Master!H359</f>
        <v>0</v>
      </c>
      <c r="E365" t="str">
        <f>Student_Master!I359</f>
        <v>React, Power BI</v>
      </c>
      <c r="F365" t="str">
        <f t="shared" si="10"/>
        <v>Eligible</v>
      </c>
      <c r="G365" t="str">
        <f t="shared" si="11"/>
        <v>Eligible</v>
      </c>
    </row>
    <row r="366" spans="1:7" x14ac:dyDescent="0.25">
      <c r="A366" t="str">
        <f>Student_Master!A360</f>
        <v>STU0359</v>
      </c>
      <c r="B366" t="str">
        <f>Student_Master!B360</f>
        <v>Varun Rao</v>
      </c>
      <c r="C366">
        <f>Student_Master!E360</f>
        <v>8.26</v>
      </c>
      <c r="D366">
        <f>Student_Master!H360</f>
        <v>0</v>
      </c>
      <c r="E366" t="str">
        <f>Student_Master!I360</f>
        <v>Git, Java, Power BI</v>
      </c>
      <c r="F366" t="str">
        <f t="shared" si="10"/>
        <v>Eligible</v>
      </c>
      <c r="G366" t="str">
        <f t="shared" si="11"/>
        <v>Eligible</v>
      </c>
    </row>
    <row r="367" spans="1:7" x14ac:dyDescent="0.25">
      <c r="A367" t="str">
        <f>Student_Master!A361</f>
        <v>STU0360</v>
      </c>
      <c r="B367" t="str">
        <f>Student_Master!B361</f>
        <v>Karan Sharma</v>
      </c>
      <c r="C367">
        <f>Student_Master!E361</f>
        <v>9.8000000000000007</v>
      </c>
      <c r="D367">
        <f>Student_Master!H361</f>
        <v>0</v>
      </c>
      <c r="E367" t="str">
        <f>Student_Master!I361</f>
        <v>Excel, Java, Power BI</v>
      </c>
      <c r="F367" t="str">
        <f t="shared" si="10"/>
        <v>Eligible</v>
      </c>
      <c r="G367" t="str">
        <f t="shared" si="11"/>
        <v>Eligible</v>
      </c>
    </row>
    <row r="368" spans="1:7" x14ac:dyDescent="0.25">
      <c r="A368" t="str">
        <f>Student_Master!A362</f>
        <v>STU0361</v>
      </c>
      <c r="B368" t="str">
        <f>Student_Master!B362</f>
        <v>Varun Patil</v>
      </c>
      <c r="C368">
        <f>Student_Master!E362</f>
        <v>7.13</v>
      </c>
      <c r="D368">
        <f>Student_Master!H362</f>
        <v>2</v>
      </c>
      <c r="E368" t="str">
        <f>Student_Master!I362</f>
        <v>Java, HTML/CSS, Data Analysis</v>
      </c>
      <c r="F368" t="str">
        <f t="shared" si="10"/>
        <v>Not Eligible</v>
      </c>
      <c r="G368" t="str">
        <f t="shared" si="11"/>
        <v>CGPA below requirement</v>
      </c>
    </row>
    <row r="369" spans="1:7" x14ac:dyDescent="0.25">
      <c r="A369" t="str">
        <f>Student_Master!A363</f>
        <v>STU0362</v>
      </c>
      <c r="B369" t="str">
        <f>Student_Master!B363</f>
        <v>Deepak Pillai</v>
      </c>
      <c r="C369">
        <f>Student_Master!E363</f>
        <v>6.42</v>
      </c>
      <c r="D369">
        <f>Student_Master!H363</f>
        <v>1</v>
      </c>
      <c r="E369" t="str">
        <f>Student_Master!I363</f>
        <v>JavaScript, Excel, Power BI, React, HTML/CSS</v>
      </c>
      <c r="F369" t="str">
        <f t="shared" si="10"/>
        <v>Not Eligible</v>
      </c>
      <c r="G369" t="str">
        <f t="shared" si="11"/>
        <v>CGPA below requirement</v>
      </c>
    </row>
    <row r="370" spans="1:7" x14ac:dyDescent="0.25">
      <c r="A370" t="str">
        <f>Student_Master!A364</f>
        <v>STU0363</v>
      </c>
      <c r="B370" t="str">
        <f>Student_Master!B364</f>
        <v>Sneha Kumar</v>
      </c>
      <c r="C370">
        <f>Student_Master!E364</f>
        <v>6.06</v>
      </c>
      <c r="D370">
        <f>Student_Master!H364</f>
        <v>0</v>
      </c>
      <c r="E370" t="str">
        <f>Student_Master!I364</f>
        <v>Data Analysis, Python, JavaScript, SQL, Power BI</v>
      </c>
      <c r="F370" t="str">
        <f t="shared" si="10"/>
        <v>Not Eligible</v>
      </c>
      <c r="G370" t="str">
        <f t="shared" si="11"/>
        <v>CGPA below requirement</v>
      </c>
    </row>
    <row r="371" spans="1:7" x14ac:dyDescent="0.25">
      <c r="A371" t="str">
        <f>Student_Master!A365</f>
        <v>STU0364</v>
      </c>
      <c r="B371" t="str">
        <f>Student_Master!B365</f>
        <v>Pranav Reddy</v>
      </c>
      <c r="C371">
        <f>Student_Master!E365</f>
        <v>7.46</v>
      </c>
      <c r="D371">
        <f>Student_Master!H365</f>
        <v>0</v>
      </c>
      <c r="E371" t="str">
        <f>Student_Master!I365</f>
        <v>Java, Data Analysis, Power BI, SQL</v>
      </c>
      <c r="F371" t="str">
        <f t="shared" si="10"/>
        <v>Not Eligible</v>
      </c>
      <c r="G371" t="str">
        <f t="shared" si="11"/>
        <v>CGPA below requirement</v>
      </c>
    </row>
    <row r="372" spans="1:7" x14ac:dyDescent="0.25">
      <c r="A372" t="str">
        <f>Student_Master!A366</f>
        <v>STU0365</v>
      </c>
      <c r="B372" t="str">
        <f>Student_Master!B366</f>
        <v>Arjun Nair</v>
      </c>
      <c r="C372">
        <f>Student_Master!E366</f>
        <v>5.9</v>
      </c>
      <c r="D372">
        <f>Student_Master!H366</f>
        <v>0</v>
      </c>
      <c r="E372" t="str">
        <f>Student_Master!I366</f>
        <v>Data Analysis, Power BI, HTML/CSS, SQL, Excel</v>
      </c>
      <c r="F372" t="str">
        <f t="shared" si="10"/>
        <v>Not Eligible</v>
      </c>
      <c r="G372" t="str">
        <f t="shared" si="11"/>
        <v>CGPA below requirement</v>
      </c>
    </row>
    <row r="373" spans="1:7" x14ac:dyDescent="0.25">
      <c r="A373" t="str">
        <f>Student_Master!A367</f>
        <v>STU0366</v>
      </c>
      <c r="B373" t="str">
        <f>Student_Master!B367</f>
        <v>Pooja Hegde</v>
      </c>
      <c r="C373">
        <f>Student_Master!E367</f>
        <v>7.35</v>
      </c>
      <c r="D373">
        <f>Student_Master!H367</f>
        <v>0</v>
      </c>
      <c r="E373" t="str">
        <f>Student_Master!I367</f>
        <v>Git, SQL</v>
      </c>
      <c r="F373" t="str">
        <f t="shared" si="10"/>
        <v>Not Eligible</v>
      </c>
      <c r="G373" t="str">
        <f t="shared" si="11"/>
        <v>CGPA below requirement</v>
      </c>
    </row>
    <row r="374" spans="1:7" x14ac:dyDescent="0.25">
      <c r="A374" t="str">
        <f>Student_Master!A368</f>
        <v>STU0367</v>
      </c>
      <c r="B374" t="str">
        <f>Student_Master!B368</f>
        <v>Ananya Sharma</v>
      </c>
      <c r="C374">
        <f>Student_Master!E368</f>
        <v>8.83</v>
      </c>
      <c r="D374">
        <f>Student_Master!H368</f>
        <v>0</v>
      </c>
      <c r="E374" t="str">
        <f>Student_Master!I368</f>
        <v>Power BI, Data Analysis, HTML/CSS, JavaScript</v>
      </c>
      <c r="F374" t="str">
        <f t="shared" si="10"/>
        <v>Eligible</v>
      </c>
      <c r="G374" t="str">
        <f t="shared" si="11"/>
        <v>Eligible</v>
      </c>
    </row>
    <row r="375" spans="1:7" x14ac:dyDescent="0.25">
      <c r="A375" t="str">
        <f>Student_Master!A369</f>
        <v>STU0368</v>
      </c>
      <c r="B375" t="str">
        <f>Student_Master!B369</f>
        <v>Nikhil Patil</v>
      </c>
      <c r="C375">
        <f>Student_Master!E369</f>
        <v>7.97</v>
      </c>
      <c r="D375">
        <f>Student_Master!H369</f>
        <v>2</v>
      </c>
      <c r="E375" t="str">
        <f>Student_Master!I369</f>
        <v>Git, Java, Python, Excel</v>
      </c>
      <c r="F375" t="str">
        <f t="shared" si="10"/>
        <v>Not Eligible</v>
      </c>
      <c r="G375" t="str">
        <f t="shared" si="11"/>
        <v>Too many backlogs</v>
      </c>
    </row>
    <row r="376" spans="1:7" x14ac:dyDescent="0.25">
      <c r="A376" t="str">
        <f>Student_Master!A370</f>
        <v>STU0369</v>
      </c>
      <c r="B376" t="str">
        <f>Student_Master!B370</f>
        <v>Tanvi Mishra</v>
      </c>
      <c r="C376">
        <f>Student_Master!E370</f>
        <v>7.68</v>
      </c>
      <c r="D376">
        <f>Student_Master!H370</f>
        <v>0</v>
      </c>
      <c r="E376" t="str">
        <f>Student_Master!I370</f>
        <v>JavaScript, Python, React, Power BI, Data Analysis</v>
      </c>
      <c r="F376" t="str">
        <f t="shared" si="10"/>
        <v>Eligible</v>
      </c>
      <c r="G376" t="str">
        <f t="shared" si="11"/>
        <v>Eligible</v>
      </c>
    </row>
    <row r="377" spans="1:7" x14ac:dyDescent="0.25">
      <c r="A377" t="str">
        <f>Student_Master!A371</f>
        <v>STU0370</v>
      </c>
      <c r="B377" t="str">
        <f>Student_Master!B371</f>
        <v>Nisha Gupta</v>
      </c>
      <c r="C377">
        <f>Student_Master!E371</f>
        <v>8.07</v>
      </c>
      <c r="D377">
        <f>Student_Master!H371</f>
        <v>0</v>
      </c>
      <c r="E377" t="str">
        <f>Student_Master!I371</f>
        <v>React, Power BI</v>
      </c>
      <c r="F377" t="str">
        <f t="shared" si="10"/>
        <v>Eligible</v>
      </c>
      <c r="G377" t="str">
        <f t="shared" si="11"/>
        <v>Eligible</v>
      </c>
    </row>
    <row r="378" spans="1:7" x14ac:dyDescent="0.25">
      <c r="A378" t="str">
        <f>Student_Master!A372</f>
        <v>STU0371</v>
      </c>
      <c r="B378" t="str">
        <f>Student_Master!B372</f>
        <v>Bhavana Hegde</v>
      </c>
      <c r="C378">
        <f>Student_Master!E372</f>
        <v>9.24</v>
      </c>
      <c r="D378">
        <f>Student_Master!H372</f>
        <v>0</v>
      </c>
      <c r="E378" t="str">
        <f>Student_Master!I372</f>
        <v>HTML/CSS, React, Data Analysis, Excel</v>
      </c>
      <c r="F378" t="str">
        <f t="shared" si="10"/>
        <v>Not Eligible</v>
      </c>
      <c r="G378" t="str">
        <f t="shared" si="11"/>
        <v>Required skill missing</v>
      </c>
    </row>
    <row r="379" spans="1:7" x14ac:dyDescent="0.25">
      <c r="A379" t="str">
        <f>Student_Master!A373</f>
        <v>STU0372</v>
      </c>
      <c r="B379" t="str">
        <f>Student_Master!B373</f>
        <v>Rohan Gupta</v>
      </c>
      <c r="C379">
        <f>Student_Master!E373</f>
        <v>7.83</v>
      </c>
      <c r="D379">
        <f>Student_Master!H373</f>
        <v>0</v>
      </c>
      <c r="E379" t="str">
        <f>Student_Master!I373</f>
        <v>Power BI, Data Analysis</v>
      </c>
      <c r="F379" t="str">
        <f t="shared" si="10"/>
        <v>Eligible</v>
      </c>
      <c r="G379" t="str">
        <f t="shared" si="11"/>
        <v>Eligible</v>
      </c>
    </row>
    <row r="380" spans="1:7" x14ac:dyDescent="0.25">
      <c r="A380" t="str">
        <f>Student_Master!A374</f>
        <v>STU0373</v>
      </c>
      <c r="B380" t="str">
        <f>Student_Master!B374</f>
        <v>Riya Gowda</v>
      </c>
      <c r="C380">
        <f>Student_Master!E374</f>
        <v>7.34</v>
      </c>
      <c r="D380">
        <f>Student_Master!H374</f>
        <v>0</v>
      </c>
      <c r="E380" t="str">
        <f>Student_Master!I374</f>
        <v>Git, HTML/CSS, Java, SQL, Data Analysis</v>
      </c>
      <c r="F380" t="str">
        <f t="shared" si="10"/>
        <v>Not Eligible</v>
      </c>
      <c r="G380" t="str">
        <f t="shared" si="11"/>
        <v>CGPA below requirement</v>
      </c>
    </row>
    <row r="381" spans="1:7" x14ac:dyDescent="0.25">
      <c r="A381" t="str">
        <f>Student_Master!A375</f>
        <v>STU0374</v>
      </c>
      <c r="B381" t="str">
        <f>Student_Master!B375</f>
        <v>Karan Gowda</v>
      </c>
      <c r="C381">
        <f>Student_Master!E375</f>
        <v>8.18</v>
      </c>
      <c r="D381">
        <f>Student_Master!H375</f>
        <v>0</v>
      </c>
      <c r="E381" t="str">
        <f>Student_Master!I375</f>
        <v>JavaScript, SQL, Data Analysis, HTML/CSS</v>
      </c>
      <c r="F381" t="str">
        <f t="shared" si="10"/>
        <v>Not Eligible</v>
      </c>
      <c r="G381" t="str">
        <f t="shared" si="11"/>
        <v>Required skill missing</v>
      </c>
    </row>
    <row r="382" spans="1:7" x14ac:dyDescent="0.25">
      <c r="A382" t="str">
        <f>Student_Master!A376</f>
        <v>STU0375</v>
      </c>
      <c r="B382" t="str">
        <f>Student_Master!B376</f>
        <v>Deepak Nair</v>
      </c>
      <c r="C382">
        <f>Student_Master!E376</f>
        <v>6.67</v>
      </c>
      <c r="D382">
        <f>Student_Master!H376</f>
        <v>0</v>
      </c>
      <c r="E382" t="str">
        <f>Student_Master!I376</f>
        <v>Python, Git</v>
      </c>
      <c r="F382" t="str">
        <f t="shared" si="10"/>
        <v>Not Eligible</v>
      </c>
      <c r="G382" t="str">
        <f t="shared" si="11"/>
        <v>CGPA below requirement</v>
      </c>
    </row>
    <row r="383" spans="1:7" x14ac:dyDescent="0.25">
      <c r="A383" t="str">
        <f>Student_Master!A377</f>
        <v>STU0376</v>
      </c>
      <c r="B383" t="str">
        <f>Student_Master!B377</f>
        <v>Neha Mishra</v>
      </c>
      <c r="C383">
        <f>Student_Master!E377</f>
        <v>8.08</v>
      </c>
      <c r="D383">
        <f>Student_Master!H377</f>
        <v>2</v>
      </c>
      <c r="E383" t="str">
        <f>Student_Master!I377</f>
        <v>HTML/CSS, SQL, Excel, Power BI, JavaScript</v>
      </c>
      <c r="F383" t="str">
        <f t="shared" si="10"/>
        <v>Not Eligible</v>
      </c>
      <c r="G383" t="str">
        <f t="shared" si="11"/>
        <v>Too many backlogs</v>
      </c>
    </row>
    <row r="384" spans="1:7" x14ac:dyDescent="0.25">
      <c r="A384" t="str">
        <f>Student_Master!A378</f>
        <v>STU0377</v>
      </c>
      <c r="B384" t="str">
        <f>Student_Master!B378</f>
        <v>Sneha Desai</v>
      </c>
      <c r="C384">
        <f>Student_Master!E378</f>
        <v>8.61</v>
      </c>
      <c r="D384">
        <f>Student_Master!H378</f>
        <v>1</v>
      </c>
      <c r="E384" t="str">
        <f>Student_Master!I378</f>
        <v>Java, JavaScript</v>
      </c>
      <c r="F384" t="str">
        <f t="shared" si="10"/>
        <v>Not Eligible</v>
      </c>
      <c r="G384" t="str">
        <f t="shared" si="11"/>
        <v>Too many backlogs</v>
      </c>
    </row>
    <row r="385" spans="1:7" x14ac:dyDescent="0.25">
      <c r="A385" t="str">
        <f>Student_Master!A379</f>
        <v>STU0378</v>
      </c>
      <c r="B385" t="str">
        <f>Student_Master!B379</f>
        <v>Suraj Gowda</v>
      </c>
      <c r="C385">
        <f>Student_Master!E379</f>
        <v>7.54</v>
      </c>
      <c r="D385">
        <f>Student_Master!H379</f>
        <v>0</v>
      </c>
      <c r="E385" t="str">
        <f>Student_Master!I379</f>
        <v>HTML/CSS, JavaScript, Python, React, Git</v>
      </c>
      <c r="F385" t="str">
        <f t="shared" si="10"/>
        <v>Not Eligible</v>
      </c>
      <c r="G385" t="str">
        <f t="shared" si="11"/>
        <v>Required skill missing</v>
      </c>
    </row>
    <row r="386" spans="1:7" x14ac:dyDescent="0.25">
      <c r="A386" t="str">
        <f>Student_Master!A380</f>
        <v>STU0379</v>
      </c>
      <c r="B386" t="str">
        <f>Student_Master!B380</f>
        <v>Divya Kulkarni</v>
      </c>
      <c r="C386">
        <f>Student_Master!E380</f>
        <v>6.14</v>
      </c>
      <c r="D386">
        <f>Student_Master!H380</f>
        <v>0</v>
      </c>
      <c r="E386" t="str">
        <f>Student_Master!I380</f>
        <v>Git, Python, React, Power BI, Java</v>
      </c>
      <c r="F386" t="str">
        <f t="shared" si="10"/>
        <v>Not Eligible</v>
      </c>
      <c r="G386" t="str">
        <f t="shared" si="11"/>
        <v>CGPA below requirement</v>
      </c>
    </row>
    <row r="387" spans="1:7" x14ac:dyDescent="0.25">
      <c r="A387" t="str">
        <f>Student_Master!A381</f>
        <v>STU0380</v>
      </c>
      <c r="B387" t="str">
        <f>Student_Master!B381</f>
        <v>Kavya Rao</v>
      </c>
      <c r="C387">
        <f>Student_Master!E381</f>
        <v>5.83</v>
      </c>
      <c r="D387">
        <f>Student_Master!H381</f>
        <v>0</v>
      </c>
      <c r="E387" t="str">
        <f>Student_Master!I381</f>
        <v>JavaScript, Data Analysis, HTML/CSS, Excel</v>
      </c>
      <c r="F387" t="str">
        <f t="shared" si="10"/>
        <v>Not Eligible</v>
      </c>
      <c r="G387" t="str">
        <f t="shared" si="11"/>
        <v>CGPA below requirement</v>
      </c>
    </row>
    <row r="388" spans="1:7" x14ac:dyDescent="0.25">
      <c r="A388" t="str">
        <f>Student_Master!A382</f>
        <v>STU0381</v>
      </c>
      <c r="B388" t="str">
        <f>Student_Master!B382</f>
        <v>Shreya Reddy</v>
      </c>
      <c r="C388">
        <f>Student_Master!E382</f>
        <v>6.12</v>
      </c>
      <c r="D388">
        <f>Student_Master!H382</f>
        <v>1</v>
      </c>
      <c r="E388" t="str">
        <f>Student_Master!I382</f>
        <v>React, Data Analysis, SQL, Power BI</v>
      </c>
      <c r="F388" t="str">
        <f t="shared" si="10"/>
        <v>Not Eligible</v>
      </c>
      <c r="G388" t="str">
        <f t="shared" si="11"/>
        <v>CGPA below requirement</v>
      </c>
    </row>
    <row r="389" spans="1:7" x14ac:dyDescent="0.25">
      <c r="A389" t="str">
        <f>Student_Master!A383</f>
        <v>STU0382</v>
      </c>
      <c r="B389" t="str">
        <f>Student_Master!B383</f>
        <v>Ishita Pillai</v>
      </c>
      <c r="C389">
        <f>Student_Master!E383</f>
        <v>9.41</v>
      </c>
      <c r="D389">
        <f>Student_Master!H383</f>
        <v>0</v>
      </c>
      <c r="E389" t="str">
        <f>Student_Master!I383</f>
        <v>Git, HTML/CSS, JavaScript, Python, React</v>
      </c>
      <c r="F389" t="str">
        <f t="shared" si="10"/>
        <v>Not Eligible</v>
      </c>
      <c r="G389" t="str">
        <f t="shared" si="11"/>
        <v>Required skill missing</v>
      </c>
    </row>
    <row r="390" spans="1:7" x14ac:dyDescent="0.25">
      <c r="A390" t="str">
        <f>Student_Master!A384</f>
        <v>STU0383</v>
      </c>
      <c r="B390" t="str">
        <f>Student_Master!B384</f>
        <v>Harsh Shetty</v>
      </c>
      <c r="C390">
        <f>Student_Master!E384</f>
        <v>8.32</v>
      </c>
      <c r="D390">
        <f>Student_Master!H384</f>
        <v>0</v>
      </c>
      <c r="E390" t="str">
        <f>Student_Master!I384</f>
        <v>Git, Excel, Power BI, Java</v>
      </c>
      <c r="F390" t="str">
        <f t="shared" si="10"/>
        <v>Eligible</v>
      </c>
      <c r="G390" t="str">
        <f t="shared" si="11"/>
        <v>Eligible</v>
      </c>
    </row>
    <row r="391" spans="1:7" x14ac:dyDescent="0.25">
      <c r="A391" t="str">
        <f>Student_Master!A385</f>
        <v>STU0384</v>
      </c>
      <c r="B391" t="str">
        <f>Student_Master!B385</f>
        <v>Bhavana Verma</v>
      </c>
      <c r="C391">
        <f>Student_Master!E385</f>
        <v>9.23</v>
      </c>
      <c r="D391">
        <f>Student_Master!H385</f>
        <v>0</v>
      </c>
      <c r="E391" t="str">
        <f>Student_Master!I385</f>
        <v>React, HTML/CSS, Python</v>
      </c>
      <c r="F391" t="str">
        <f t="shared" si="10"/>
        <v>Not Eligible</v>
      </c>
      <c r="G391" t="str">
        <f t="shared" si="11"/>
        <v>Required skill missing</v>
      </c>
    </row>
    <row r="392" spans="1:7" x14ac:dyDescent="0.25">
      <c r="A392" t="str">
        <f>Student_Master!A386</f>
        <v>STU0385</v>
      </c>
      <c r="B392" t="str">
        <f>Student_Master!B386</f>
        <v>Kavya Patil</v>
      </c>
      <c r="C392">
        <f>Student_Master!E386</f>
        <v>9.74</v>
      </c>
      <c r="D392">
        <f>Student_Master!H386</f>
        <v>1</v>
      </c>
      <c r="E392" t="str">
        <f>Student_Master!I386</f>
        <v>JavaScript, Git, Java, HTML/CSS, React</v>
      </c>
      <c r="F392" t="str">
        <f t="shared" si="10"/>
        <v>Not Eligible</v>
      </c>
      <c r="G392" t="str">
        <f t="shared" si="11"/>
        <v>Too many backlogs</v>
      </c>
    </row>
    <row r="393" spans="1:7" x14ac:dyDescent="0.25">
      <c r="A393" t="str">
        <f>Student_Master!A387</f>
        <v>STU0386</v>
      </c>
      <c r="B393" t="str">
        <f>Student_Master!B387</f>
        <v>Aarav Hegde</v>
      </c>
      <c r="C393">
        <f>Student_Master!E387</f>
        <v>6.01</v>
      </c>
      <c r="D393">
        <f>Student_Master!H387</f>
        <v>0</v>
      </c>
      <c r="E393" t="str">
        <f>Student_Master!I387</f>
        <v>JavaScript, Git, React</v>
      </c>
      <c r="F393" t="str">
        <f t="shared" ref="F393:F456" si="12">IF(AND(C393&gt;=$E$3,D393&lt;=$E$4,ISNUMBER(SEARCH($E$5,E393))),"Eligible","Not Eligible")</f>
        <v>Not Eligible</v>
      </c>
      <c r="G393" t="str">
        <f t="shared" ref="G393:G456" si="13">IF(C393&lt;$E$3,"CGPA below requirement",IF(D393&gt;$E$4,"Too many backlogs",IF(NOT(ISNUMBER(SEARCH($E$5,E393))),"Required skill missing","Eligible")))</f>
        <v>CGPA below requirement</v>
      </c>
    </row>
    <row r="394" spans="1:7" x14ac:dyDescent="0.25">
      <c r="A394" t="str">
        <f>Student_Master!A388</f>
        <v>STU0387</v>
      </c>
      <c r="B394" t="str">
        <f>Student_Master!B388</f>
        <v>Nikhil Gupta</v>
      </c>
      <c r="C394">
        <f>Student_Master!E388</f>
        <v>8.51</v>
      </c>
      <c r="D394">
        <f>Student_Master!H388</f>
        <v>0</v>
      </c>
      <c r="E394" t="str">
        <f>Student_Master!I388</f>
        <v>JavaScript, Power BI, HTML/CSS, Python</v>
      </c>
      <c r="F394" t="str">
        <f t="shared" si="12"/>
        <v>Eligible</v>
      </c>
      <c r="G394" t="str">
        <f t="shared" si="13"/>
        <v>Eligible</v>
      </c>
    </row>
    <row r="395" spans="1:7" x14ac:dyDescent="0.25">
      <c r="A395" t="str">
        <f>Student_Master!A389</f>
        <v>STU0388</v>
      </c>
      <c r="B395" t="str">
        <f>Student_Master!B389</f>
        <v>Nikhil Singh</v>
      </c>
      <c r="C395">
        <f>Student_Master!E389</f>
        <v>7.15</v>
      </c>
      <c r="D395">
        <f>Student_Master!H389</f>
        <v>0</v>
      </c>
      <c r="E395" t="str">
        <f>Student_Master!I389</f>
        <v>SQL, Excel</v>
      </c>
      <c r="F395" t="str">
        <f t="shared" si="12"/>
        <v>Not Eligible</v>
      </c>
      <c r="G395" t="str">
        <f t="shared" si="13"/>
        <v>CGPA below requirement</v>
      </c>
    </row>
    <row r="396" spans="1:7" x14ac:dyDescent="0.25">
      <c r="A396" t="str">
        <f>Student_Master!A390</f>
        <v>STU0389</v>
      </c>
      <c r="B396" t="str">
        <f>Student_Master!B390</f>
        <v>Shreya Pillai</v>
      </c>
      <c r="C396">
        <f>Student_Master!E390</f>
        <v>6.93</v>
      </c>
      <c r="D396">
        <f>Student_Master!H390</f>
        <v>0</v>
      </c>
      <c r="E396" t="str">
        <f>Student_Master!I390</f>
        <v>Git, SQL, Data Analysis</v>
      </c>
      <c r="F396" t="str">
        <f t="shared" si="12"/>
        <v>Not Eligible</v>
      </c>
      <c r="G396" t="str">
        <f t="shared" si="13"/>
        <v>CGPA below requirement</v>
      </c>
    </row>
    <row r="397" spans="1:7" x14ac:dyDescent="0.25">
      <c r="A397" t="str">
        <f>Student_Master!A391</f>
        <v>STU0390</v>
      </c>
      <c r="B397" t="str">
        <f>Student_Master!B391</f>
        <v>Karan Patil</v>
      </c>
      <c r="C397">
        <f>Student_Master!E391</f>
        <v>8.58</v>
      </c>
      <c r="D397">
        <f>Student_Master!H391</f>
        <v>2</v>
      </c>
      <c r="E397" t="str">
        <f>Student_Master!I391</f>
        <v>Power BI, JavaScript, HTML/CSS, Python, SQL</v>
      </c>
      <c r="F397" t="str">
        <f t="shared" si="12"/>
        <v>Not Eligible</v>
      </c>
      <c r="G397" t="str">
        <f t="shared" si="13"/>
        <v>Too many backlogs</v>
      </c>
    </row>
    <row r="398" spans="1:7" x14ac:dyDescent="0.25">
      <c r="A398" t="str">
        <f>Student_Master!A392</f>
        <v>STU0391</v>
      </c>
      <c r="B398" t="str">
        <f>Student_Master!B392</f>
        <v>Nikhil Joshi</v>
      </c>
      <c r="C398">
        <f>Student_Master!E392</f>
        <v>6.51</v>
      </c>
      <c r="D398">
        <f>Student_Master!H392</f>
        <v>0</v>
      </c>
      <c r="E398" t="str">
        <f>Student_Master!I392</f>
        <v>Python, React, SQL, Data Analysis, Power BI</v>
      </c>
      <c r="F398" t="str">
        <f t="shared" si="12"/>
        <v>Not Eligible</v>
      </c>
      <c r="G398" t="str">
        <f t="shared" si="13"/>
        <v>CGPA below requirement</v>
      </c>
    </row>
    <row r="399" spans="1:7" x14ac:dyDescent="0.25">
      <c r="A399" t="str">
        <f>Student_Master!A393</f>
        <v>STU0392</v>
      </c>
      <c r="B399" t="str">
        <f>Student_Master!B393</f>
        <v>Riya Sharma</v>
      </c>
      <c r="C399">
        <f>Student_Master!E393</f>
        <v>6.09</v>
      </c>
      <c r="D399">
        <f>Student_Master!H393</f>
        <v>0</v>
      </c>
      <c r="E399" t="str">
        <f>Student_Master!I393</f>
        <v>Python, Excel, Data Analysis, HTML/CSS, Java</v>
      </c>
      <c r="F399" t="str">
        <f t="shared" si="12"/>
        <v>Not Eligible</v>
      </c>
      <c r="G399" t="str">
        <f t="shared" si="13"/>
        <v>CGPA below requirement</v>
      </c>
    </row>
    <row r="400" spans="1:7" x14ac:dyDescent="0.25">
      <c r="A400" t="str">
        <f>Student_Master!A394</f>
        <v>STU0393</v>
      </c>
      <c r="B400" t="str">
        <f>Student_Master!B394</f>
        <v>Karan Hegde</v>
      </c>
      <c r="C400">
        <f>Student_Master!E394</f>
        <v>7.54</v>
      </c>
      <c r="D400">
        <f>Student_Master!H394</f>
        <v>1</v>
      </c>
      <c r="E400" t="str">
        <f>Student_Master!I394</f>
        <v>Excel, JavaScript, React</v>
      </c>
      <c r="F400" t="str">
        <f t="shared" si="12"/>
        <v>Not Eligible</v>
      </c>
      <c r="G400" t="str">
        <f t="shared" si="13"/>
        <v>Too many backlogs</v>
      </c>
    </row>
    <row r="401" spans="1:7" x14ac:dyDescent="0.25">
      <c r="A401" t="str">
        <f>Student_Master!A395</f>
        <v>STU0394</v>
      </c>
      <c r="B401" t="str">
        <f>Student_Master!B395</f>
        <v>Shreya Nair</v>
      </c>
      <c r="C401">
        <f>Student_Master!E395</f>
        <v>8.33</v>
      </c>
      <c r="D401">
        <f>Student_Master!H395</f>
        <v>0</v>
      </c>
      <c r="E401" t="str">
        <f>Student_Master!I395</f>
        <v>SQL, React, Power BI, HTML/CSS</v>
      </c>
      <c r="F401" t="str">
        <f t="shared" si="12"/>
        <v>Eligible</v>
      </c>
      <c r="G401" t="str">
        <f t="shared" si="13"/>
        <v>Eligible</v>
      </c>
    </row>
    <row r="402" spans="1:7" x14ac:dyDescent="0.25">
      <c r="A402" t="str">
        <f>Student_Master!A396</f>
        <v>STU0395</v>
      </c>
      <c r="B402" t="str">
        <f>Student_Master!B396</f>
        <v>Varun Mishra</v>
      </c>
      <c r="C402">
        <f>Student_Master!E396</f>
        <v>9.39</v>
      </c>
      <c r="D402">
        <f>Student_Master!H396</f>
        <v>0</v>
      </c>
      <c r="E402" t="str">
        <f>Student_Master!I396</f>
        <v>Java, Python, Excel, SQL, React</v>
      </c>
      <c r="F402" t="str">
        <f t="shared" si="12"/>
        <v>Not Eligible</v>
      </c>
      <c r="G402" t="str">
        <f t="shared" si="13"/>
        <v>Required skill missing</v>
      </c>
    </row>
    <row r="403" spans="1:7" x14ac:dyDescent="0.25">
      <c r="A403" t="str">
        <f>Student_Master!A397</f>
        <v>STU0396</v>
      </c>
      <c r="B403" t="str">
        <f>Student_Master!B397</f>
        <v>Ananya Nair</v>
      </c>
      <c r="C403">
        <f>Student_Master!E397</f>
        <v>7.94</v>
      </c>
      <c r="D403">
        <f>Student_Master!H397</f>
        <v>3</v>
      </c>
      <c r="E403" t="str">
        <f>Student_Master!I397</f>
        <v>HTML/CSS, Excel</v>
      </c>
      <c r="F403" t="str">
        <f t="shared" si="12"/>
        <v>Not Eligible</v>
      </c>
      <c r="G403" t="str">
        <f t="shared" si="13"/>
        <v>Too many backlogs</v>
      </c>
    </row>
    <row r="404" spans="1:7" x14ac:dyDescent="0.25">
      <c r="A404" t="str">
        <f>Student_Master!A398</f>
        <v>STU0397</v>
      </c>
      <c r="B404" t="str">
        <f>Student_Master!B398</f>
        <v>Aditi Gupta</v>
      </c>
      <c r="C404">
        <f>Student_Master!E398</f>
        <v>9.2799999999999994</v>
      </c>
      <c r="D404">
        <f>Student_Master!H398</f>
        <v>0</v>
      </c>
      <c r="E404" t="str">
        <f>Student_Master!I398</f>
        <v>Excel, Python</v>
      </c>
      <c r="F404" t="str">
        <f t="shared" si="12"/>
        <v>Not Eligible</v>
      </c>
      <c r="G404" t="str">
        <f t="shared" si="13"/>
        <v>Required skill missing</v>
      </c>
    </row>
    <row r="405" spans="1:7" x14ac:dyDescent="0.25">
      <c r="A405" t="str">
        <f>Student_Master!A399</f>
        <v>STU0398</v>
      </c>
      <c r="B405" t="str">
        <f>Student_Master!B399</f>
        <v>Divya Reddy</v>
      </c>
      <c r="C405">
        <f>Student_Master!E399</f>
        <v>6.49</v>
      </c>
      <c r="D405">
        <f>Student_Master!H399</f>
        <v>1</v>
      </c>
      <c r="E405" t="str">
        <f>Student_Master!I399</f>
        <v>Git, Python, SQL, JavaScript, Excel</v>
      </c>
      <c r="F405" t="str">
        <f t="shared" si="12"/>
        <v>Not Eligible</v>
      </c>
      <c r="G405" t="str">
        <f t="shared" si="13"/>
        <v>CGPA below requirement</v>
      </c>
    </row>
    <row r="406" spans="1:7" x14ac:dyDescent="0.25">
      <c r="A406" t="str">
        <f>Student_Master!A400</f>
        <v>STU0399</v>
      </c>
      <c r="B406" t="str">
        <f>Student_Master!B400</f>
        <v>Tanvi Patil</v>
      </c>
      <c r="C406">
        <f>Student_Master!E400</f>
        <v>7.15</v>
      </c>
      <c r="D406">
        <f>Student_Master!H400</f>
        <v>0</v>
      </c>
      <c r="E406" t="str">
        <f>Student_Master!I400</f>
        <v>Git, Data Analysis</v>
      </c>
      <c r="F406" t="str">
        <f t="shared" si="12"/>
        <v>Not Eligible</v>
      </c>
      <c r="G406" t="str">
        <f t="shared" si="13"/>
        <v>CGPA below requirement</v>
      </c>
    </row>
    <row r="407" spans="1:7" x14ac:dyDescent="0.25">
      <c r="A407" t="str">
        <f>Student_Master!A401</f>
        <v>STU0400</v>
      </c>
      <c r="B407" t="str">
        <f>Student_Master!B401</f>
        <v>Sanjay Jain</v>
      </c>
      <c r="C407">
        <f>Student_Master!E401</f>
        <v>6.05</v>
      </c>
      <c r="D407">
        <f>Student_Master!H401</f>
        <v>0</v>
      </c>
      <c r="E407" t="str">
        <f>Student_Master!I401</f>
        <v>Data Analysis, Python, React, SQL</v>
      </c>
      <c r="F407" t="str">
        <f t="shared" si="12"/>
        <v>Not Eligible</v>
      </c>
      <c r="G407" t="str">
        <f t="shared" si="13"/>
        <v>CGPA below requirement</v>
      </c>
    </row>
    <row r="408" spans="1:7" x14ac:dyDescent="0.25">
      <c r="A408" t="str">
        <f>Student_Master!A402</f>
        <v>STU0401</v>
      </c>
      <c r="B408" t="str">
        <f>Student_Master!B402</f>
        <v>Sneha Shetty</v>
      </c>
      <c r="C408">
        <f>Student_Master!E402</f>
        <v>5.86</v>
      </c>
      <c r="D408">
        <f>Student_Master!H402</f>
        <v>0</v>
      </c>
      <c r="E408" t="str">
        <f>Student_Master!I402</f>
        <v>Git, Power BI</v>
      </c>
      <c r="F408" t="str">
        <f t="shared" si="12"/>
        <v>Not Eligible</v>
      </c>
      <c r="G408" t="str">
        <f t="shared" si="13"/>
        <v>CGPA below requirement</v>
      </c>
    </row>
    <row r="409" spans="1:7" x14ac:dyDescent="0.25">
      <c r="A409" t="str">
        <f>Student_Master!A403</f>
        <v>STU0402</v>
      </c>
      <c r="B409" t="str">
        <f>Student_Master!B403</f>
        <v>Sanjay Hegde</v>
      </c>
      <c r="C409">
        <f>Student_Master!E403</f>
        <v>8.36</v>
      </c>
      <c r="D409">
        <f>Student_Master!H403</f>
        <v>2</v>
      </c>
      <c r="E409" t="str">
        <f>Student_Master!I403</f>
        <v>Git, Python</v>
      </c>
      <c r="F409" t="str">
        <f t="shared" si="12"/>
        <v>Not Eligible</v>
      </c>
      <c r="G409" t="str">
        <f t="shared" si="13"/>
        <v>Too many backlogs</v>
      </c>
    </row>
    <row r="410" spans="1:7" x14ac:dyDescent="0.25">
      <c r="A410" t="str">
        <f>Student_Master!A404</f>
        <v>STU0403</v>
      </c>
      <c r="B410" t="str">
        <f>Student_Master!B404</f>
        <v>Divya Naik</v>
      </c>
      <c r="C410">
        <f>Student_Master!E404</f>
        <v>5.82</v>
      </c>
      <c r="D410">
        <f>Student_Master!H404</f>
        <v>0</v>
      </c>
      <c r="E410" t="str">
        <f>Student_Master!I404</f>
        <v>Git, HTML/CSS</v>
      </c>
      <c r="F410" t="str">
        <f t="shared" si="12"/>
        <v>Not Eligible</v>
      </c>
      <c r="G410" t="str">
        <f t="shared" si="13"/>
        <v>CGPA below requirement</v>
      </c>
    </row>
    <row r="411" spans="1:7" x14ac:dyDescent="0.25">
      <c r="A411" t="str">
        <f>Student_Master!A405</f>
        <v>STU0404</v>
      </c>
      <c r="B411" t="str">
        <f>Student_Master!B405</f>
        <v>Meera Joshi</v>
      </c>
      <c r="C411">
        <f>Student_Master!E405</f>
        <v>6.01</v>
      </c>
      <c r="D411">
        <f>Student_Master!H405</f>
        <v>1</v>
      </c>
      <c r="E411" t="str">
        <f>Student_Master!I405</f>
        <v>React, Python, Data Analysis, HTML/CSS, Excel</v>
      </c>
      <c r="F411" t="str">
        <f t="shared" si="12"/>
        <v>Not Eligible</v>
      </c>
      <c r="G411" t="str">
        <f t="shared" si="13"/>
        <v>CGPA below requirement</v>
      </c>
    </row>
    <row r="412" spans="1:7" x14ac:dyDescent="0.25">
      <c r="A412" t="str">
        <f>Student_Master!A406</f>
        <v>STU0405</v>
      </c>
      <c r="B412" t="str">
        <f>Student_Master!B406</f>
        <v>Nikhil Pillai</v>
      </c>
      <c r="C412">
        <f>Student_Master!E406</f>
        <v>5.97</v>
      </c>
      <c r="D412">
        <f>Student_Master!H406</f>
        <v>0</v>
      </c>
      <c r="E412" t="str">
        <f>Student_Master!I406</f>
        <v>React, Data Analysis</v>
      </c>
      <c r="F412" t="str">
        <f t="shared" si="12"/>
        <v>Not Eligible</v>
      </c>
      <c r="G412" t="str">
        <f t="shared" si="13"/>
        <v>CGPA below requirement</v>
      </c>
    </row>
    <row r="413" spans="1:7" x14ac:dyDescent="0.25">
      <c r="A413" t="str">
        <f>Student_Master!A407</f>
        <v>STU0406</v>
      </c>
      <c r="B413" t="str">
        <f>Student_Master!B407</f>
        <v>Nisha Pillai</v>
      </c>
      <c r="C413">
        <f>Student_Master!E407</f>
        <v>6.6</v>
      </c>
      <c r="D413">
        <f>Student_Master!H407</f>
        <v>0</v>
      </c>
      <c r="E413" t="str">
        <f>Student_Master!I407</f>
        <v>Java, SQL, Git, HTML/CSS</v>
      </c>
      <c r="F413" t="str">
        <f t="shared" si="12"/>
        <v>Not Eligible</v>
      </c>
      <c r="G413" t="str">
        <f t="shared" si="13"/>
        <v>CGPA below requirement</v>
      </c>
    </row>
    <row r="414" spans="1:7" x14ac:dyDescent="0.25">
      <c r="A414" t="str">
        <f>Student_Master!A408</f>
        <v>STU0407</v>
      </c>
      <c r="B414" t="str">
        <f>Student_Master!B408</f>
        <v>Karan Shetty</v>
      </c>
      <c r="C414">
        <f>Student_Master!E408</f>
        <v>9.36</v>
      </c>
      <c r="D414">
        <f>Student_Master!H408</f>
        <v>0</v>
      </c>
      <c r="E414" t="str">
        <f>Student_Master!I408</f>
        <v>HTML/CSS, Python, React, Git, SQL</v>
      </c>
      <c r="F414" t="str">
        <f t="shared" si="12"/>
        <v>Not Eligible</v>
      </c>
      <c r="G414" t="str">
        <f t="shared" si="13"/>
        <v>Required skill missing</v>
      </c>
    </row>
    <row r="415" spans="1:7" x14ac:dyDescent="0.25">
      <c r="A415" t="str">
        <f>Student_Master!A409</f>
        <v>STU0408</v>
      </c>
      <c r="B415" t="str">
        <f>Student_Master!B409</f>
        <v>Neha Kulkarni</v>
      </c>
      <c r="C415">
        <f>Student_Master!E409</f>
        <v>8.07</v>
      </c>
      <c r="D415">
        <f>Student_Master!H409</f>
        <v>0</v>
      </c>
      <c r="E415" t="str">
        <f>Student_Master!I409</f>
        <v>Python, HTML/CSS, Java, Git, Power BI</v>
      </c>
      <c r="F415" t="str">
        <f t="shared" si="12"/>
        <v>Eligible</v>
      </c>
      <c r="G415" t="str">
        <f t="shared" si="13"/>
        <v>Eligible</v>
      </c>
    </row>
    <row r="416" spans="1:7" x14ac:dyDescent="0.25">
      <c r="A416" t="str">
        <f>Student_Master!A410</f>
        <v>STU0409</v>
      </c>
      <c r="B416" t="str">
        <f>Student_Master!B410</f>
        <v>Divya Pillai</v>
      </c>
      <c r="C416">
        <f>Student_Master!E410</f>
        <v>7.45</v>
      </c>
      <c r="D416">
        <f>Student_Master!H410</f>
        <v>0</v>
      </c>
      <c r="E416" t="str">
        <f>Student_Master!I410</f>
        <v>React, Power BI, Excel, HTML/CSS, Java</v>
      </c>
      <c r="F416" t="str">
        <f t="shared" si="12"/>
        <v>Not Eligible</v>
      </c>
      <c r="G416" t="str">
        <f t="shared" si="13"/>
        <v>CGPA below requirement</v>
      </c>
    </row>
    <row r="417" spans="1:7" x14ac:dyDescent="0.25">
      <c r="A417" t="str">
        <f>Student_Master!A411</f>
        <v>STU0410</v>
      </c>
      <c r="B417" t="str">
        <f>Student_Master!B411</f>
        <v>Vikas Rao</v>
      </c>
      <c r="C417">
        <f>Student_Master!E411</f>
        <v>9.39</v>
      </c>
      <c r="D417">
        <f>Student_Master!H411</f>
        <v>3</v>
      </c>
      <c r="E417" t="str">
        <f>Student_Master!I411</f>
        <v>JavaScript, Data Analysis</v>
      </c>
      <c r="F417" t="str">
        <f t="shared" si="12"/>
        <v>Not Eligible</v>
      </c>
      <c r="G417" t="str">
        <f t="shared" si="13"/>
        <v>Too many backlogs</v>
      </c>
    </row>
    <row r="418" spans="1:7" x14ac:dyDescent="0.25">
      <c r="A418" t="str">
        <f>Student_Master!A412</f>
        <v>STU0411</v>
      </c>
      <c r="B418" t="str">
        <f>Student_Master!B412</f>
        <v>Nisha Hegde</v>
      </c>
      <c r="C418">
        <f>Student_Master!E412</f>
        <v>6.76</v>
      </c>
      <c r="D418">
        <f>Student_Master!H412</f>
        <v>0</v>
      </c>
      <c r="E418" t="str">
        <f>Student_Master!I412</f>
        <v>Python, HTML/CSS, Power BI</v>
      </c>
      <c r="F418" t="str">
        <f t="shared" si="12"/>
        <v>Not Eligible</v>
      </c>
      <c r="G418" t="str">
        <f t="shared" si="13"/>
        <v>CGPA below requirement</v>
      </c>
    </row>
    <row r="419" spans="1:7" x14ac:dyDescent="0.25">
      <c r="A419" t="str">
        <f>Student_Master!A413</f>
        <v>STU0412</v>
      </c>
      <c r="B419" t="str">
        <f>Student_Master!B413</f>
        <v>Yash Reddy</v>
      </c>
      <c r="C419">
        <f>Student_Master!E413</f>
        <v>7.64</v>
      </c>
      <c r="D419">
        <f>Student_Master!H413</f>
        <v>2</v>
      </c>
      <c r="E419" t="str">
        <f>Student_Master!I413</f>
        <v>Python, JavaScript, Git, Data Analysis, React</v>
      </c>
      <c r="F419" t="str">
        <f t="shared" si="12"/>
        <v>Not Eligible</v>
      </c>
      <c r="G419" t="str">
        <f t="shared" si="13"/>
        <v>Too many backlogs</v>
      </c>
    </row>
    <row r="420" spans="1:7" x14ac:dyDescent="0.25">
      <c r="A420" t="str">
        <f>Student_Master!A414</f>
        <v>STU0413</v>
      </c>
      <c r="B420" t="str">
        <f>Student_Master!B414</f>
        <v>Neha Patil</v>
      </c>
      <c r="C420">
        <f>Student_Master!E414</f>
        <v>7.13</v>
      </c>
      <c r="D420">
        <f>Student_Master!H414</f>
        <v>0</v>
      </c>
      <c r="E420" t="str">
        <f>Student_Master!I414</f>
        <v>SQL, HTML/CSS, Excel</v>
      </c>
      <c r="F420" t="str">
        <f t="shared" si="12"/>
        <v>Not Eligible</v>
      </c>
      <c r="G420" t="str">
        <f t="shared" si="13"/>
        <v>CGPA below requirement</v>
      </c>
    </row>
    <row r="421" spans="1:7" x14ac:dyDescent="0.25">
      <c r="A421" t="str">
        <f>Student_Master!A415</f>
        <v>STU0414</v>
      </c>
      <c r="B421" t="str">
        <f>Student_Master!B415</f>
        <v>Nisha Pillai</v>
      </c>
      <c r="C421">
        <f>Student_Master!E415</f>
        <v>7.26</v>
      </c>
      <c r="D421">
        <f>Student_Master!H415</f>
        <v>0</v>
      </c>
      <c r="E421" t="str">
        <f>Student_Master!I415</f>
        <v>Data Analysis, Java</v>
      </c>
      <c r="F421" t="str">
        <f t="shared" si="12"/>
        <v>Not Eligible</v>
      </c>
      <c r="G421" t="str">
        <f t="shared" si="13"/>
        <v>CGPA below requirement</v>
      </c>
    </row>
    <row r="422" spans="1:7" x14ac:dyDescent="0.25">
      <c r="A422" t="str">
        <f>Student_Master!A416</f>
        <v>STU0415</v>
      </c>
      <c r="B422" t="str">
        <f>Student_Master!B416</f>
        <v>Sneha Mishra</v>
      </c>
      <c r="C422">
        <f>Student_Master!E416</f>
        <v>8.84</v>
      </c>
      <c r="D422">
        <f>Student_Master!H416</f>
        <v>0</v>
      </c>
      <c r="E422" t="str">
        <f>Student_Master!I416</f>
        <v>Power BI, Excel, SQL, Python, JavaScript</v>
      </c>
      <c r="F422" t="str">
        <f t="shared" si="12"/>
        <v>Eligible</v>
      </c>
      <c r="G422" t="str">
        <f t="shared" si="13"/>
        <v>Eligible</v>
      </c>
    </row>
    <row r="423" spans="1:7" x14ac:dyDescent="0.25">
      <c r="A423" t="str">
        <f>Student_Master!A417</f>
        <v>STU0416</v>
      </c>
      <c r="B423" t="str">
        <f>Student_Master!B417</f>
        <v>Ishita Reddy</v>
      </c>
      <c r="C423">
        <f>Student_Master!E417</f>
        <v>8.2799999999999994</v>
      </c>
      <c r="D423">
        <f>Student_Master!H417</f>
        <v>1</v>
      </c>
      <c r="E423" t="str">
        <f>Student_Master!I417</f>
        <v>Java, React</v>
      </c>
      <c r="F423" t="str">
        <f t="shared" si="12"/>
        <v>Not Eligible</v>
      </c>
      <c r="G423" t="str">
        <f t="shared" si="13"/>
        <v>Too many backlogs</v>
      </c>
    </row>
    <row r="424" spans="1:7" x14ac:dyDescent="0.25">
      <c r="A424" t="str">
        <f>Student_Master!A418</f>
        <v>STU0417</v>
      </c>
      <c r="B424" t="str">
        <f>Student_Master!B418</f>
        <v>Nisha Singh</v>
      </c>
      <c r="C424">
        <f>Student_Master!E418</f>
        <v>6.9</v>
      </c>
      <c r="D424">
        <f>Student_Master!H418</f>
        <v>1</v>
      </c>
      <c r="E424" t="str">
        <f>Student_Master!I418</f>
        <v>Power BI, JavaScript</v>
      </c>
      <c r="F424" t="str">
        <f t="shared" si="12"/>
        <v>Not Eligible</v>
      </c>
      <c r="G424" t="str">
        <f t="shared" si="13"/>
        <v>CGPA below requirement</v>
      </c>
    </row>
    <row r="425" spans="1:7" x14ac:dyDescent="0.25">
      <c r="A425" t="str">
        <f>Student_Master!A419</f>
        <v>STU0418</v>
      </c>
      <c r="B425" t="str">
        <f>Student_Master!B419</f>
        <v>Nisha Pillai</v>
      </c>
      <c r="C425">
        <f>Student_Master!E419</f>
        <v>8.75</v>
      </c>
      <c r="D425">
        <f>Student_Master!H419</f>
        <v>0</v>
      </c>
      <c r="E425" t="str">
        <f>Student_Master!I419</f>
        <v>Data Analysis, HTML/CSS, JavaScript</v>
      </c>
      <c r="F425" t="str">
        <f t="shared" si="12"/>
        <v>Not Eligible</v>
      </c>
      <c r="G425" t="str">
        <f t="shared" si="13"/>
        <v>Required skill missing</v>
      </c>
    </row>
    <row r="426" spans="1:7" x14ac:dyDescent="0.25">
      <c r="A426" t="str">
        <f>Student_Master!A420</f>
        <v>STU0419</v>
      </c>
      <c r="B426" t="str">
        <f>Student_Master!B420</f>
        <v>Bhavana Jain</v>
      </c>
      <c r="C426">
        <f>Student_Master!E420</f>
        <v>7.02</v>
      </c>
      <c r="D426">
        <f>Student_Master!H420</f>
        <v>0</v>
      </c>
      <c r="E426" t="str">
        <f>Student_Master!I420</f>
        <v>Java, React, HTML/CSS, Python</v>
      </c>
      <c r="F426" t="str">
        <f t="shared" si="12"/>
        <v>Not Eligible</v>
      </c>
      <c r="G426" t="str">
        <f t="shared" si="13"/>
        <v>CGPA below requirement</v>
      </c>
    </row>
    <row r="427" spans="1:7" x14ac:dyDescent="0.25">
      <c r="A427" t="str">
        <f>Student_Master!A421</f>
        <v>STU0420</v>
      </c>
      <c r="B427" t="str">
        <f>Student_Master!B421</f>
        <v>Kavya Kulkarni</v>
      </c>
      <c r="C427">
        <f>Student_Master!E421</f>
        <v>7.94</v>
      </c>
      <c r="D427">
        <f>Student_Master!H421</f>
        <v>0</v>
      </c>
      <c r="E427" t="str">
        <f>Student_Master!I421</f>
        <v>Python, Java, SQL</v>
      </c>
      <c r="F427" t="str">
        <f t="shared" si="12"/>
        <v>Not Eligible</v>
      </c>
      <c r="G427" t="str">
        <f t="shared" si="13"/>
        <v>Required skill missing</v>
      </c>
    </row>
    <row r="428" spans="1:7" x14ac:dyDescent="0.25">
      <c r="A428" t="str">
        <f>Student_Master!A422</f>
        <v>STU0421</v>
      </c>
      <c r="B428" t="str">
        <f>Student_Master!B422</f>
        <v>Pranav Kumar</v>
      </c>
      <c r="C428">
        <f>Student_Master!E422</f>
        <v>8.6300000000000008</v>
      </c>
      <c r="D428">
        <f>Student_Master!H422</f>
        <v>0</v>
      </c>
      <c r="E428" t="str">
        <f>Student_Master!I422</f>
        <v>Data Analysis, Python, Power BI, Excel, JavaScript</v>
      </c>
      <c r="F428" t="str">
        <f t="shared" si="12"/>
        <v>Eligible</v>
      </c>
      <c r="G428" t="str">
        <f t="shared" si="13"/>
        <v>Eligible</v>
      </c>
    </row>
    <row r="429" spans="1:7" x14ac:dyDescent="0.25">
      <c r="A429" t="str">
        <f>Student_Master!A423</f>
        <v>STU0422</v>
      </c>
      <c r="B429" t="str">
        <f>Student_Master!B423</f>
        <v>Karan Rao</v>
      </c>
      <c r="C429">
        <f>Student_Master!E423</f>
        <v>9.68</v>
      </c>
      <c r="D429">
        <f>Student_Master!H423</f>
        <v>0</v>
      </c>
      <c r="E429" t="str">
        <f>Student_Master!I423</f>
        <v>React, Power BI, Python, JavaScript</v>
      </c>
      <c r="F429" t="str">
        <f t="shared" si="12"/>
        <v>Eligible</v>
      </c>
      <c r="G429" t="str">
        <f t="shared" si="13"/>
        <v>Eligible</v>
      </c>
    </row>
    <row r="430" spans="1:7" x14ac:dyDescent="0.25">
      <c r="A430" t="str">
        <f>Student_Master!A424</f>
        <v>STU0423</v>
      </c>
      <c r="B430" t="str">
        <f>Student_Master!B424</f>
        <v>Riya Verma</v>
      </c>
      <c r="C430">
        <f>Student_Master!E424</f>
        <v>6.36</v>
      </c>
      <c r="D430">
        <f>Student_Master!H424</f>
        <v>0</v>
      </c>
      <c r="E430" t="str">
        <f>Student_Master!I424</f>
        <v>React, HTML/CSS, SQL</v>
      </c>
      <c r="F430" t="str">
        <f t="shared" si="12"/>
        <v>Not Eligible</v>
      </c>
      <c r="G430" t="str">
        <f t="shared" si="13"/>
        <v>CGPA below requirement</v>
      </c>
    </row>
    <row r="431" spans="1:7" x14ac:dyDescent="0.25">
      <c r="A431" t="str">
        <f>Student_Master!A425</f>
        <v>STU0424</v>
      </c>
      <c r="B431" t="str">
        <f>Student_Master!B425</f>
        <v>Aditi Singh</v>
      </c>
      <c r="C431">
        <f>Student_Master!E425</f>
        <v>6.58</v>
      </c>
      <c r="D431">
        <f>Student_Master!H425</f>
        <v>0</v>
      </c>
      <c r="E431" t="str">
        <f>Student_Master!I425</f>
        <v>Data Analysis, JavaScript</v>
      </c>
      <c r="F431" t="str">
        <f t="shared" si="12"/>
        <v>Not Eligible</v>
      </c>
      <c r="G431" t="str">
        <f t="shared" si="13"/>
        <v>CGPA below requirement</v>
      </c>
    </row>
    <row r="432" spans="1:7" x14ac:dyDescent="0.25">
      <c r="A432" t="str">
        <f>Student_Master!A426</f>
        <v>STU0425</v>
      </c>
      <c r="B432" t="str">
        <f>Student_Master!B426</f>
        <v>Meera Naik</v>
      </c>
      <c r="C432">
        <f>Student_Master!E426</f>
        <v>8.66</v>
      </c>
      <c r="D432">
        <f>Student_Master!H426</f>
        <v>0</v>
      </c>
      <c r="E432" t="str">
        <f>Student_Master!I426</f>
        <v>HTML/CSS, Power BI, React, JavaScript</v>
      </c>
      <c r="F432" t="str">
        <f t="shared" si="12"/>
        <v>Eligible</v>
      </c>
      <c r="G432" t="str">
        <f t="shared" si="13"/>
        <v>Eligible</v>
      </c>
    </row>
    <row r="433" spans="1:7" x14ac:dyDescent="0.25">
      <c r="A433" t="str">
        <f>Student_Master!A427</f>
        <v>STU0426</v>
      </c>
      <c r="B433" t="str">
        <f>Student_Master!B427</f>
        <v>Karan Reddy</v>
      </c>
      <c r="C433">
        <f>Student_Master!E427</f>
        <v>9.02</v>
      </c>
      <c r="D433">
        <f>Student_Master!H427</f>
        <v>1</v>
      </c>
      <c r="E433" t="str">
        <f>Student_Master!I427</f>
        <v>Git, SQL, Python</v>
      </c>
      <c r="F433" t="str">
        <f t="shared" si="12"/>
        <v>Not Eligible</v>
      </c>
      <c r="G433" t="str">
        <f t="shared" si="13"/>
        <v>Too many backlogs</v>
      </c>
    </row>
    <row r="434" spans="1:7" x14ac:dyDescent="0.25">
      <c r="A434" t="str">
        <f>Student_Master!A428</f>
        <v>STU0427</v>
      </c>
      <c r="B434" t="str">
        <f>Student_Master!B428</f>
        <v>Vikas Pillai</v>
      </c>
      <c r="C434">
        <f>Student_Master!E428</f>
        <v>5.83</v>
      </c>
      <c r="D434">
        <f>Student_Master!H428</f>
        <v>0</v>
      </c>
      <c r="E434" t="str">
        <f>Student_Master!I428</f>
        <v>Git, Python, Java, SQL, React</v>
      </c>
      <c r="F434" t="str">
        <f t="shared" si="12"/>
        <v>Not Eligible</v>
      </c>
      <c r="G434" t="str">
        <f t="shared" si="13"/>
        <v>CGPA below requirement</v>
      </c>
    </row>
    <row r="435" spans="1:7" x14ac:dyDescent="0.25">
      <c r="A435" t="str">
        <f>Student_Master!A429</f>
        <v>STU0428</v>
      </c>
      <c r="B435" t="str">
        <f>Student_Master!B429</f>
        <v>Sneha Gupta</v>
      </c>
      <c r="C435">
        <f>Student_Master!E429</f>
        <v>8.0399999999999991</v>
      </c>
      <c r="D435">
        <f>Student_Master!H429</f>
        <v>0</v>
      </c>
      <c r="E435" t="str">
        <f>Student_Master!I429</f>
        <v>Power BI, React, SQL, HTML/CSS</v>
      </c>
      <c r="F435" t="str">
        <f t="shared" si="12"/>
        <v>Eligible</v>
      </c>
      <c r="G435" t="str">
        <f t="shared" si="13"/>
        <v>Eligible</v>
      </c>
    </row>
    <row r="436" spans="1:7" x14ac:dyDescent="0.25">
      <c r="A436" t="str">
        <f>Student_Master!A430</f>
        <v>STU0429</v>
      </c>
      <c r="B436" t="str">
        <f>Student_Master!B430</f>
        <v>Vikas Rao</v>
      </c>
      <c r="C436">
        <f>Student_Master!E430</f>
        <v>8.86</v>
      </c>
      <c r="D436">
        <f>Student_Master!H430</f>
        <v>0</v>
      </c>
      <c r="E436" t="str">
        <f>Student_Master!I430</f>
        <v>Git, React, JavaScript, Data Analysis</v>
      </c>
      <c r="F436" t="str">
        <f t="shared" si="12"/>
        <v>Not Eligible</v>
      </c>
      <c r="G436" t="str">
        <f t="shared" si="13"/>
        <v>Required skill missing</v>
      </c>
    </row>
    <row r="437" spans="1:7" x14ac:dyDescent="0.25">
      <c r="A437" t="str">
        <f>Student_Master!A431</f>
        <v>STU0430</v>
      </c>
      <c r="B437" t="str">
        <f>Student_Master!B431</f>
        <v>Aditi Hegde</v>
      </c>
      <c r="C437">
        <f>Student_Master!E431</f>
        <v>9.18</v>
      </c>
      <c r="D437">
        <f>Student_Master!H431</f>
        <v>0</v>
      </c>
      <c r="E437" t="str">
        <f>Student_Master!I431</f>
        <v>HTML/CSS, Python, Excel</v>
      </c>
      <c r="F437" t="str">
        <f t="shared" si="12"/>
        <v>Not Eligible</v>
      </c>
      <c r="G437" t="str">
        <f t="shared" si="13"/>
        <v>Required skill missing</v>
      </c>
    </row>
    <row r="438" spans="1:7" x14ac:dyDescent="0.25">
      <c r="A438" t="str">
        <f>Student_Master!A432</f>
        <v>STU0431</v>
      </c>
      <c r="B438" t="str">
        <f>Student_Master!B432</f>
        <v>Harsh Singh</v>
      </c>
      <c r="C438">
        <f>Student_Master!E432</f>
        <v>7.86</v>
      </c>
      <c r="D438">
        <f>Student_Master!H432</f>
        <v>0</v>
      </c>
      <c r="E438" t="str">
        <f>Student_Master!I432</f>
        <v>Data Analysis, HTML/CSS, Git</v>
      </c>
      <c r="F438" t="str">
        <f t="shared" si="12"/>
        <v>Not Eligible</v>
      </c>
      <c r="G438" t="str">
        <f t="shared" si="13"/>
        <v>Required skill missing</v>
      </c>
    </row>
    <row r="439" spans="1:7" x14ac:dyDescent="0.25">
      <c r="A439" t="str">
        <f>Student_Master!A433</f>
        <v>STU0432</v>
      </c>
      <c r="B439" t="str">
        <f>Student_Master!B433</f>
        <v>Varun Mishra</v>
      </c>
      <c r="C439">
        <f>Student_Master!E433</f>
        <v>8.1199999999999992</v>
      </c>
      <c r="D439">
        <f>Student_Master!H433</f>
        <v>0</v>
      </c>
      <c r="E439" t="str">
        <f>Student_Master!I433</f>
        <v>React, JavaScript, HTML/CSS, SQL</v>
      </c>
      <c r="F439" t="str">
        <f t="shared" si="12"/>
        <v>Not Eligible</v>
      </c>
      <c r="G439" t="str">
        <f t="shared" si="13"/>
        <v>Required skill missing</v>
      </c>
    </row>
    <row r="440" spans="1:7" x14ac:dyDescent="0.25">
      <c r="A440" t="str">
        <f>Student_Master!A434</f>
        <v>STU0433</v>
      </c>
      <c r="B440" t="str">
        <f>Student_Master!B434</f>
        <v>Bhavana Hegde</v>
      </c>
      <c r="C440">
        <f>Student_Master!E434</f>
        <v>7.64</v>
      </c>
      <c r="D440">
        <f>Student_Master!H434</f>
        <v>2</v>
      </c>
      <c r="E440" t="str">
        <f>Student_Master!I434</f>
        <v>HTML/CSS, Power BI, Git, SQL, Java</v>
      </c>
      <c r="F440" t="str">
        <f t="shared" si="12"/>
        <v>Not Eligible</v>
      </c>
      <c r="G440" t="str">
        <f t="shared" si="13"/>
        <v>Too many backlogs</v>
      </c>
    </row>
    <row r="441" spans="1:7" x14ac:dyDescent="0.25">
      <c r="A441" t="str">
        <f>Student_Master!A435</f>
        <v>STU0434</v>
      </c>
      <c r="B441" t="str">
        <f>Student_Master!B435</f>
        <v>Ananya Reddy</v>
      </c>
      <c r="C441">
        <f>Student_Master!E435</f>
        <v>9.06</v>
      </c>
      <c r="D441">
        <f>Student_Master!H435</f>
        <v>0</v>
      </c>
      <c r="E441" t="str">
        <f>Student_Master!I435</f>
        <v>Power BI, Python, Java</v>
      </c>
      <c r="F441" t="str">
        <f t="shared" si="12"/>
        <v>Eligible</v>
      </c>
      <c r="G441" t="str">
        <f t="shared" si="13"/>
        <v>Eligible</v>
      </c>
    </row>
    <row r="442" spans="1:7" x14ac:dyDescent="0.25">
      <c r="A442" t="str">
        <f>Student_Master!A436</f>
        <v>STU0435</v>
      </c>
      <c r="B442" t="str">
        <f>Student_Master!B436</f>
        <v>Tanvi Rao</v>
      </c>
      <c r="C442">
        <f>Student_Master!E436</f>
        <v>8.83</v>
      </c>
      <c r="D442">
        <f>Student_Master!H436</f>
        <v>1</v>
      </c>
      <c r="E442" t="str">
        <f>Student_Master!I436</f>
        <v>React, SQL</v>
      </c>
      <c r="F442" t="str">
        <f t="shared" si="12"/>
        <v>Not Eligible</v>
      </c>
      <c r="G442" t="str">
        <f t="shared" si="13"/>
        <v>Too many backlogs</v>
      </c>
    </row>
    <row r="443" spans="1:7" x14ac:dyDescent="0.25">
      <c r="A443" t="str">
        <f>Student_Master!A437</f>
        <v>STU0436</v>
      </c>
      <c r="B443" t="str">
        <f>Student_Master!B437</f>
        <v>Tanvi Jain</v>
      </c>
      <c r="C443">
        <f>Student_Master!E437</f>
        <v>6.62</v>
      </c>
      <c r="D443">
        <f>Student_Master!H437</f>
        <v>0</v>
      </c>
      <c r="E443" t="str">
        <f>Student_Master!I437</f>
        <v>Python, Power BI</v>
      </c>
      <c r="F443" t="str">
        <f t="shared" si="12"/>
        <v>Not Eligible</v>
      </c>
      <c r="G443" t="str">
        <f t="shared" si="13"/>
        <v>CGPA below requirement</v>
      </c>
    </row>
    <row r="444" spans="1:7" x14ac:dyDescent="0.25">
      <c r="A444" t="str">
        <f>Student_Master!A438</f>
        <v>STU0437</v>
      </c>
      <c r="B444" t="str">
        <f>Student_Master!B438</f>
        <v>Ananya Nair</v>
      </c>
      <c r="C444">
        <f>Student_Master!E438</f>
        <v>8.08</v>
      </c>
      <c r="D444">
        <f>Student_Master!H438</f>
        <v>0</v>
      </c>
      <c r="E444" t="str">
        <f>Student_Master!I438</f>
        <v>Java, Power BI, Python</v>
      </c>
      <c r="F444" t="str">
        <f t="shared" si="12"/>
        <v>Eligible</v>
      </c>
      <c r="G444" t="str">
        <f t="shared" si="13"/>
        <v>Eligible</v>
      </c>
    </row>
    <row r="445" spans="1:7" x14ac:dyDescent="0.25">
      <c r="A445" t="str">
        <f>Student_Master!A439</f>
        <v>STU0438</v>
      </c>
      <c r="B445" t="str">
        <f>Student_Master!B439</f>
        <v>Ananya Verma</v>
      </c>
      <c r="C445">
        <f>Student_Master!E439</f>
        <v>8.59</v>
      </c>
      <c r="D445">
        <f>Student_Master!H439</f>
        <v>0</v>
      </c>
      <c r="E445" t="str">
        <f>Student_Master!I439</f>
        <v>JavaScript, Git, Java, Power BI</v>
      </c>
      <c r="F445" t="str">
        <f t="shared" si="12"/>
        <v>Eligible</v>
      </c>
      <c r="G445" t="str">
        <f t="shared" si="13"/>
        <v>Eligible</v>
      </c>
    </row>
    <row r="446" spans="1:7" x14ac:dyDescent="0.25">
      <c r="A446" t="str">
        <f>Student_Master!A440</f>
        <v>STU0439</v>
      </c>
      <c r="B446" t="str">
        <f>Student_Master!B440</f>
        <v>Vikas Naik</v>
      </c>
      <c r="C446">
        <f>Student_Master!E440</f>
        <v>8.85</v>
      </c>
      <c r="D446">
        <f>Student_Master!H440</f>
        <v>0</v>
      </c>
      <c r="E446" t="str">
        <f>Student_Master!I440</f>
        <v>React, SQL, JavaScript, Python</v>
      </c>
      <c r="F446" t="str">
        <f t="shared" si="12"/>
        <v>Not Eligible</v>
      </c>
      <c r="G446" t="str">
        <f t="shared" si="13"/>
        <v>Required skill missing</v>
      </c>
    </row>
    <row r="447" spans="1:7" x14ac:dyDescent="0.25">
      <c r="A447" t="str">
        <f>Student_Master!A441</f>
        <v>STU0440</v>
      </c>
      <c r="B447" t="str">
        <f>Student_Master!B441</f>
        <v>Shreya Reddy</v>
      </c>
      <c r="C447">
        <f>Student_Master!E441</f>
        <v>7.43</v>
      </c>
      <c r="D447">
        <f>Student_Master!H441</f>
        <v>1</v>
      </c>
      <c r="E447" t="str">
        <f>Student_Master!I441</f>
        <v>HTML/CSS, Python, Excel, Git, Java</v>
      </c>
      <c r="F447" t="str">
        <f t="shared" si="12"/>
        <v>Not Eligible</v>
      </c>
      <c r="G447" t="str">
        <f t="shared" si="13"/>
        <v>CGPA below requirement</v>
      </c>
    </row>
    <row r="448" spans="1:7" x14ac:dyDescent="0.25">
      <c r="A448" t="str">
        <f>Student_Master!A442</f>
        <v>STU0441</v>
      </c>
      <c r="B448" t="str">
        <f>Student_Master!B442</f>
        <v>Ananya Gupta</v>
      </c>
      <c r="C448">
        <f>Student_Master!E442</f>
        <v>7.38</v>
      </c>
      <c r="D448">
        <f>Student_Master!H442</f>
        <v>0</v>
      </c>
      <c r="E448" t="str">
        <f>Student_Master!I442</f>
        <v>SQL, HTML/CSS, Java</v>
      </c>
      <c r="F448" t="str">
        <f t="shared" si="12"/>
        <v>Not Eligible</v>
      </c>
      <c r="G448" t="str">
        <f t="shared" si="13"/>
        <v>CGPA below requirement</v>
      </c>
    </row>
    <row r="449" spans="1:7" x14ac:dyDescent="0.25">
      <c r="A449" t="str">
        <f>Student_Master!A443</f>
        <v>STU0442</v>
      </c>
      <c r="B449" t="str">
        <f>Student_Master!B443</f>
        <v>Ananya Joshi</v>
      </c>
      <c r="C449">
        <f>Student_Master!E443</f>
        <v>7.8</v>
      </c>
      <c r="D449">
        <f>Student_Master!H443</f>
        <v>0</v>
      </c>
      <c r="E449" t="str">
        <f>Student_Master!I443</f>
        <v>HTML/CSS, React, JavaScript, Java, Power BI</v>
      </c>
      <c r="F449" t="str">
        <f t="shared" si="12"/>
        <v>Eligible</v>
      </c>
      <c r="G449" t="str">
        <f t="shared" si="13"/>
        <v>Eligible</v>
      </c>
    </row>
    <row r="450" spans="1:7" x14ac:dyDescent="0.25">
      <c r="A450" t="str">
        <f>Student_Master!A444</f>
        <v>STU0443</v>
      </c>
      <c r="B450" t="str">
        <f>Student_Master!B444</f>
        <v>Karan Shetty</v>
      </c>
      <c r="C450">
        <f>Student_Master!E444</f>
        <v>6.72</v>
      </c>
      <c r="D450">
        <f>Student_Master!H444</f>
        <v>0</v>
      </c>
      <c r="E450" t="str">
        <f>Student_Master!I444</f>
        <v>React, Excel</v>
      </c>
      <c r="F450" t="str">
        <f t="shared" si="12"/>
        <v>Not Eligible</v>
      </c>
      <c r="G450" t="str">
        <f t="shared" si="13"/>
        <v>CGPA below requirement</v>
      </c>
    </row>
    <row r="451" spans="1:7" x14ac:dyDescent="0.25">
      <c r="A451" t="str">
        <f>Student_Master!A445</f>
        <v>STU0444</v>
      </c>
      <c r="B451" t="str">
        <f>Student_Master!B445</f>
        <v>Aarav Patil</v>
      </c>
      <c r="C451">
        <f>Student_Master!E445</f>
        <v>8.84</v>
      </c>
      <c r="D451">
        <f>Student_Master!H445</f>
        <v>0</v>
      </c>
      <c r="E451" t="str">
        <f>Student_Master!I445</f>
        <v>Java, Power BI, React, Git, Data Analysis</v>
      </c>
      <c r="F451" t="str">
        <f t="shared" si="12"/>
        <v>Eligible</v>
      </c>
      <c r="G451" t="str">
        <f t="shared" si="13"/>
        <v>Eligible</v>
      </c>
    </row>
    <row r="452" spans="1:7" x14ac:dyDescent="0.25">
      <c r="A452" t="str">
        <f>Student_Master!A446</f>
        <v>STU0445</v>
      </c>
      <c r="B452" t="str">
        <f>Student_Master!B446</f>
        <v>Bhavana Gowda</v>
      </c>
      <c r="C452">
        <f>Student_Master!E446</f>
        <v>7.33</v>
      </c>
      <c r="D452">
        <f>Student_Master!H446</f>
        <v>0</v>
      </c>
      <c r="E452" t="str">
        <f>Student_Master!I446</f>
        <v>Python, Data Analysis</v>
      </c>
      <c r="F452" t="str">
        <f t="shared" si="12"/>
        <v>Not Eligible</v>
      </c>
      <c r="G452" t="str">
        <f t="shared" si="13"/>
        <v>CGPA below requirement</v>
      </c>
    </row>
    <row r="453" spans="1:7" x14ac:dyDescent="0.25">
      <c r="A453" t="str">
        <f>Student_Master!A447</f>
        <v>STU0446</v>
      </c>
      <c r="B453" t="str">
        <f>Student_Master!B447</f>
        <v>Harsh Gowda</v>
      </c>
      <c r="C453">
        <f>Student_Master!E447</f>
        <v>7.05</v>
      </c>
      <c r="D453">
        <f>Student_Master!H447</f>
        <v>0</v>
      </c>
      <c r="E453" t="str">
        <f>Student_Master!I447</f>
        <v>Data Analysis, Git, React, Java, Power BI</v>
      </c>
      <c r="F453" t="str">
        <f t="shared" si="12"/>
        <v>Not Eligible</v>
      </c>
      <c r="G453" t="str">
        <f t="shared" si="13"/>
        <v>CGPA below requirement</v>
      </c>
    </row>
    <row r="454" spans="1:7" x14ac:dyDescent="0.25">
      <c r="A454" t="str">
        <f>Student_Master!A448</f>
        <v>STU0447</v>
      </c>
      <c r="B454" t="str">
        <f>Student_Master!B448</f>
        <v>Tanvi Kumar</v>
      </c>
      <c r="C454">
        <f>Student_Master!E448</f>
        <v>8.51</v>
      </c>
      <c r="D454">
        <f>Student_Master!H448</f>
        <v>0</v>
      </c>
      <c r="E454" t="str">
        <f>Student_Master!I448</f>
        <v>Python, HTML/CSS</v>
      </c>
      <c r="F454" t="str">
        <f t="shared" si="12"/>
        <v>Not Eligible</v>
      </c>
      <c r="G454" t="str">
        <f t="shared" si="13"/>
        <v>Required skill missing</v>
      </c>
    </row>
    <row r="455" spans="1:7" x14ac:dyDescent="0.25">
      <c r="A455" t="str">
        <f>Student_Master!A449</f>
        <v>STU0448</v>
      </c>
      <c r="B455" t="str">
        <f>Student_Master!B449</f>
        <v>Yash Hegde</v>
      </c>
      <c r="C455">
        <f>Student_Master!E449</f>
        <v>7.51</v>
      </c>
      <c r="D455">
        <f>Student_Master!H449</f>
        <v>0</v>
      </c>
      <c r="E455" t="str">
        <f>Student_Master!I449</f>
        <v>Java, Git, Power BI</v>
      </c>
      <c r="F455" t="str">
        <f t="shared" si="12"/>
        <v>Eligible</v>
      </c>
      <c r="G455" t="str">
        <f t="shared" si="13"/>
        <v>Eligible</v>
      </c>
    </row>
    <row r="456" spans="1:7" x14ac:dyDescent="0.25">
      <c r="A456" t="str">
        <f>Student_Master!A450</f>
        <v>STU0449</v>
      </c>
      <c r="B456" t="str">
        <f>Student_Master!B450</f>
        <v>Manoj Pillai</v>
      </c>
      <c r="C456">
        <f>Student_Master!E450</f>
        <v>6.48</v>
      </c>
      <c r="D456">
        <f>Student_Master!H450</f>
        <v>0</v>
      </c>
      <c r="E456" t="str">
        <f>Student_Master!I450</f>
        <v>Git, Data Analysis, JavaScript, Python, Excel</v>
      </c>
      <c r="F456" t="str">
        <f t="shared" si="12"/>
        <v>Not Eligible</v>
      </c>
      <c r="G456" t="str">
        <f t="shared" si="13"/>
        <v>CGPA below requirement</v>
      </c>
    </row>
    <row r="457" spans="1:7" x14ac:dyDescent="0.25">
      <c r="A457" t="str">
        <f>Student_Master!A451</f>
        <v>STU0450</v>
      </c>
      <c r="B457" t="str">
        <f>Student_Master!B451</f>
        <v>Sanjay Reddy</v>
      </c>
      <c r="C457">
        <f>Student_Master!E451</f>
        <v>8.09</v>
      </c>
      <c r="D457">
        <f>Student_Master!H451</f>
        <v>0</v>
      </c>
      <c r="E457" t="str">
        <f>Student_Master!I451</f>
        <v>React, Data Analysis, HTML/CSS, SQL</v>
      </c>
      <c r="F457" t="str">
        <f t="shared" ref="F457:F487" si="14">IF(AND(C457&gt;=$E$3,D457&lt;=$E$4,ISNUMBER(SEARCH($E$5,E457))),"Eligible","Not Eligible")</f>
        <v>Not Eligible</v>
      </c>
      <c r="G457" t="str">
        <f t="shared" ref="G457:G487" si="15">IF(C457&lt;$E$3,"CGPA below requirement",IF(D457&gt;$E$4,"Too many backlogs",IF(NOT(ISNUMBER(SEARCH($E$5,E457))),"Required skill missing","Eligible")))</f>
        <v>Required skill missing</v>
      </c>
    </row>
    <row r="458" spans="1:7" x14ac:dyDescent="0.25">
      <c r="A458" t="str">
        <f>Student_Master!A452</f>
        <v>STU0451</v>
      </c>
      <c r="B458" t="str">
        <f>Student_Master!B452</f>
        <v>Varun Verma</v>
      </c>
      <c r="C458">
        <f>Student_Master!E452</f>
        <v>6.86</v>
      </c>
      <c r="D458">
        <f>Student_Master!H452</f>
        <v>1</v>
      </c>
      <c r="E458" t="str">
        <f>Student_Master!I452</f>
        <v>Git, SQL</v>
      </c>
      <c r="F458" t="str">
        <f t="shared" si="14"/>
        <v>Not Eligible</v>
      </c>
      <c r="G458" t="str">
        <f t="shared" si="15"/>
        <v>CGPA below requirement</v>
      </c>
    </row>
    <row r="459" spans="1:7" x14ac:dyDescent="0.25">
      <c r="A459" t="str">
        <f>Student_Master!A453</f>
        <v>STU0452</v>
      </c>
      <c r="B459" t="str">
        <f>Student_Master!B453</f>
        <v>Tanvi Mishra</v>
      </c>
      <c r="C459">
        <f>Student_Master!E453</f>
        <v>6.64</v>
      </c>
      <c r="D459">
        <f>Student_Master!H453</f>
        <v>0</v>
      </c>
      <c r="E459" t="str">
        <f>Student_Master!I453</f>
        <v>JavaScript, Data Analysis, HTML/CSS, SQL</v>
      </c>
      <c r="F459" t="str">
        <f t="shared" si="14"/>
        <v>Not Eligible</v>
      </c>
      <c r="G459" t="str">
        <f t="shared" si="15"/>
        <v>CGPA below requirement</v>
      </c>
    </row>
    <row r="460" spans="1:7" x14ac:dyDescent="0.25">
      <c r="A460" t="str">
        <f>Student_Master!A454</f>
        <v>STU0453</v>
      </c>
      <c r="B460" t="str">
        <f>Student_Master!B454</f>
        <v>Divya Shetty</v>
      </c>
      <c r="C460">
        <f>Student_Master!E454</f>
        <v>8.31</v>
      </c>
      <c r="D460">
        <f>Student_Master!H454</f>
        <v>0</v>
      </c>
      <c r="E460" t="str">
        <f>Student_Master!I454</f>
        <v>Power BI, Data Analysis, JavaScript, Git, HTML/CSS</v>
      </c>
      <c r="F460" t="str">
        <f t="shared" si="14"/>
        <v>Eligible</v>
      </c>
      <c r="G460" t="str">
        <f t="shared" si="15"/>
        <v>Eligible</v>
      </c>
    </row>
    <row r="461" spans="1:7" x14ac:dyDescent="0.25">
      <c r="A461" t="str">
        <f>Student_Master!A455</f>
        <v>STU0454</v>
      </c>
      <c r="B461" t="str">
        <f>Student_Master!B455</f>
        <v>Aarav Gupta</v>
      </c>
      <c r="C461">
        <f>Student_Master!E455</f>
        <v>7.44</v>
      </c>
      <c r="D461">
        <f>Student_Master!H455</f>
        <v>0</v>
      </c>
      <c r="E461" t="str">
        <f>Student_Master!I455</f>
        <v>Power BI, Git, Python, React, HTML/CSS</v>
      </c>
      <c r="F461" t="str">
        <f t="shared" si="14"/>
        <v>Not Eligible</v>
      </c>
      <c r="G461" t="str">
        <f t="shared" si="15"/>
        <v>CGPA below requirement</v>
      </c>
    </row>
    <row r="462" spans="1:7" x14ac:dyDescent="0.25">
      <c r="A462" t="str">
        <f>Student_Master!A456</f>
        <v>STU0455</v>
      </c>
      <c r="B462" t="str">
        <f>Student_Master!B456</f>
        <v>Shreya Mishra</v>
      </c>
      <c r="C462">
        <f>Student_Master!E456</f>
        <v>7.74</v>
      </c>
      <c r="D462">
        <f>Student_Master!H456</f>
        <v>1</v>
      </c>
      <c r="E462" t="str">
        <f>Student_Master!I456</f>
        <v>Python, Power BI, Git</v>
      </c>
      <c r="F462" t="str">
        <f t="shared" si="14"/>
        <v>Not Eligible</v>
      </c>
      <c r="G462" t="str">
        <f t="shared" si="15"/>
        <v>Too many backlogs</v>
      </c>
    </row>
    <row r="463" spans="1:7" x14ac:dyDescent="0.25">
      <c r="A463" t="str">
        <f>Student_Master!A457</f>
        <v>STU0456</v>
      </c>
      <c r="B463" t="str">
        <f>Student_Master!B457</f>
        <v>Neha Singh</v>
      </c>
      <c r="C463">
        <f>Student_Master!E457</f>
        <v>9.2100000000000009</v>
      </c>
      <c r="D463">
        <f>Student_Master!H457</f>
        <v>0</v>
      </c>
      <c r="E463" t="str">
        <f>Student_Master!I457</f>
        <v>HTML/CSS, Power BI</v>
      </c>
      <c r="F463" t="str">
        <f t="shared" si="14"/>
        <v>Eligible</v>
      </c>
      <c r="G463" t="str">
        <f t="shared" si="15"/>
        <v>Eligible</v>
      </c>
    </row>
    <row r="464" spans="1:7" x14ac:dyDescent="0.25">
      <c r="A464" t="str">
        <f>Student_Master!A458</f>
        <v>STU0457</v>
      </c>
      <c r="B464" t="str">
        <f>Student_Master!B458</f>
        <v>Rohan Rao</v>
      </c>
      <c r="C464">
        <f>Student_Master!E458</f>
        <v>9.57</v>
      </c>
      <c r="D464">
        <f>Student_Master!H458</f>
        <v>0</v>
      </c>
      <c r="E464" t="str">
        <f>Student_Master!I458</f>
        <v>Data Analysis, Git</v>
      </c>
      <c r="F464" t="str">
        <f t="shared" si="14"/>
        <v>Not Eligible</v>
      </c>
      <c r="G464" t="str">
        <f t="shared" si="15"/>
        <v>Required skill missing</v>
      </c>
    </row>
    <row r="465" spans="1:7" x14ac:dyDescent="0.25">
      <c r="A465" t="str">
        <f>Student_Master!A459</f>
        <v>STU0458</v>
      </c>
      <c r="B465" t="str">
        <f>Student_Master!B459</f>
        <v>Aditi Gowda</v>
      </c>
      <c r="C465">
        <f>Student_Master!E459</f>
        <v>9.1300000000000008</v>
      </c>
      <c r="D465">
        <f>Student_Master!H459</f>
        <v>0</v>
      </c>
      <c r="E465" t="str">
        <f>Student_Master!I459</f>
        <v>Java, Python, SQL, React, JavaScript</v>
      </c>
      <c r="F465" t="str">
        <f t="shared" si="14"/>
        <v>Not Eligible</v>
      </c>
      <c r="G465" t="str">
        <f t="shared" si="15"/>
        <v>Required skill missing</v>
      </c>
    </row>
    <row r="466" spans="1:7" x14ac:dyDescent="0.25">
      <c r="A466" t="str">
        <f>Student_Master!A460</f>
        <v>STU0459</v>
      </c>
      <c r="B466" t="str">
        <f>Student_Master!B460</f>
        <v>Vikas Patil</v>
      </c>
      <c r="C466">
        <f>Student_Master!E460</f>
        <v>7.07</v>
      </c>
      <c r="D466">
        <f>Student_Master!H460</f>
        <v>2</v>
      </c>
      <c r="E466" t="str">
        <f>Student_Master!I460</f>
        <v>HTML/CSS, React, Git</v>
      </c>
      <c r="F466" t="str">
        <f t="shared" si="14"/>
        <v>Not Eligible</v>
      </c>
      <c r="G466" t="str">
        <f t="shared" si="15"/>
        <v>CGPA below requirement</v>
      </c>
    </row>
    <row r="467" spans="1:7" x14ac:dyDescent="0.25">
      <c r="A467" t="str">
        <f>Student_Master!A461</f>
        <v>STU0460</v>
      </c>
      <c r="B467" t="str">
        <f>Student_Master!B461</f>
        <v>Pranav Joshi</v>
      </c>
      <c r="C467">
        <f>Student_Master!E461</f>
        <v>8.01</v>
      </c>
      <c r="D467">
        <f>Student_Master!H461</f>
        <v>0</v>
      </c>
      <c r="E467" t="str">
        <f>Student_Master!I461</f>
        <v>Data Analysis, Java</v>
      </c>
      <c r="F467" t="str">
        <f t="shared" si="14"/>
        <v>Not Eligible</v>
      </c>
      <c r="G467" t="str">
        <f t="shared" si="15"/>
        <v>Required skill missing</v>
      </c>
    </row>
    <row r="468" spans="1:7" x14ac:dyDescent="0.25">
      <c r="A468" t="str">
        <f>Student_Master!A462</f>
        <v>STU0461</v>
      </c>
      <c r="B468" t="str">
        <f>Student_Master!B462</f>
        <v>Nisha Gowda</v>
      </c>
      <c r="C468">
        <f>Student_Master!E462</f>
        <v>9.5500000000000007</v>
      </c>
      <c r="D468">
        <f>Student_Master!H462</f>
        <v>1</v>
      </c>
      <c r="E468" t="str">
        <f>Student_Master!I462</f>
        <v>React, HTML/CSS, JavaScript</v>
      </c>
      <c r="F468" t="str">
        <f t="shared" si="14"/>
        <v>Not Eligible</v>
      </c>
      <c r="G468" t="str">
        <f t="shared" si="15"/>
        <v>Too many backlogs</v>
      </c>
    </row>
    <row r="469" spans="1:7" x14ac:dyDescent="0.25">
      <c r="A469" t="str">
        <f>Student_Master!A463</f>
        <v>STU0462</v>
      </c>
      <c r="B469" t="str">
        <f>Student_Master!B463</f>
        <v>Karan Naik</v>
      </c>
      <c r="C469">
        <f>Student_Master!E463</f>
        <v>8.67</v>
      </c>
      <c r="D469">
        <f>Student_Master!H463</f>
        <v>1</v>
      </c>
      <c r="E469" t="str">
        <f>Student_Master!I463</f>
        <v>Data Analysis, SQL, HTML/CSS, Java</v>
      </c>
      <c r="F469" t="str">
        <f t="shared" si="14"/>
        <v>Not Eligible</v>
      </c>
      <c r="G469" t="str">
        <f t="shared" si="15"/>
        <v>Too many backlogs</v>
      </c>
    </row>
    <row r="470" spans="1:7" x14ac:dyDescent="0.25">
      <c r="A470" t="str">
        <f>Student_Master!A464</f>
        <v>STU0463</v>
      </c>
      <c r="B470" t="str">
        <f>Student_Master!B464</f>
        <v>Divya Verma</v>
      </c>
      <c r="C470">
        <f>Student_Master!E464</f>
        <v>8.3699999999999992</v>
      </c>
      <c r="D470">
        <f>Student_Master!H464</f>
        <v>0</v>
      </c>
      <c r="E470" t="str">
        <f>Student_Master!I464</f>
        <v>JavaScript, Java</v>
      </c>
      <c r="F470" t="str">
        <f t="shared" si="14"/>
        <v>Not Eligible</v>
      </c>
      <c r="G470" t="str">
        <f t="shared" si="15"/>
        <v>Required skill missing</v>
      </c>
    </row>
    <row r="471" spans="1:7" x14ac:dyDescent="0.25">
      <c r="A471" t="str">
        <f>Student_Master!A465</f>
        <v>STU0464</v>
      </c>
      <c r="B471" t="str">
        <f>Student_Master!B465</f>
        <v>Manoj Desai</v>
      </c>
      <c r="C471">
        <f>Student_Master!E465</f>
        <v>8.5399999999999991</v>
      </c>
      <c r="D471">
        <f>Student_Master!H465</f>
        <v>0</v>
      </c>
      <c r="E471" t="str">
        <f>Student_Master!I465</f>
        <v>Power BI, Python, HTML/CSS</v>
      </c>
      <c r="F471" t="str">
        <f t="shared" si="14"/>
        <v>Eligible</v>
      </c>
      <c r="G471" t="str">
        <f t="shared" si="15"/>
        <v>Eligible</v>
      </c>
    </row>
    <row r="472" spans="1:7" x14ac:dyDescent="0.25">
      <c r="A472" t="str">
        <f>Student_Master!A466</f>
        <v>STU0465</v>
      </c>
      <c r="B472" t="str">
        <f>Student_Master!B466</f>
        <v>Manoj Jain</v>
      </c>
      <c r="C472">
        <f>Student_Master!E466</f>
        <v>9.59</v>
      </c>
      <c r="D472">
        <f>Student_Master!H466</f>
        <v>0</v>
      </c>
      <c r="E472" t="str">
        <f>Student_Master!I466</f>
        <v>React, Java</v>
      </c>
      <c r="F472" t="str">
        <f t="shared" si="14"/>
        <v>Not Eligible</v>
      </c>
      <c r="G472" t="str">
        <f t="shared" si="15"/>
        <v>Required skill missing</v>
      </c>
    </row>
    <row r="473" spans="1:7" x14ac:dyDescent="0.25">
      <c r="A473" t="str">
        <f>Student_Master!A467</f>
        <v>STU0466</v>
      </c>
      <c r="B473" t="str">
        <f>Student_Master!B467</f>
        <v>Vikas Gowda</v>
      </c>
      <c r="C473">
        <f>Student_Master!E467</f>
        <v>6.84</v>
      </c>
      <c r="D473">
        <f>Student_Master!H467</f>
        <v>2</v>
      </c>
      <c r="E473" t="str">
        <f>Student_Master!I467</f>
        <v>Excel, Data Analysis</v>
      </c>
      <c r="F473" t="str">
        <f t="shared" si="14"/>
        <v>Not Eligible</v>
      </c>
      <c r="G473" t="str">
        <f t="shared" si="15"/>
        <v>CGPA below requirement</v>
      </c>
    </row>
    <row r="474" spans="1:7" x14ac:dyDescent="0.25">
      <c r="A474" t="str">
        <f>Student_Master!A468</f>
        <v>STU0467</v>
      </c>
      <c r="B474" t="str">
        <f>Student_Master!B468</f>
        <v>Suraj Nair</v>
      </c>
      <c r="C474">
        <f>Student_Master!E468</f>
        <v>8.65</v>
      </c>
      <c r="D474">
        <f>Student_Master!H468</f>
        <v>1</v>
      </c>
      <c r="E474" t="str">
        <f>Student_Master!I468</f>
        <v>React, JavaScript, Python, Java</v>
      </c>
      <c r="F474" t="str">
        <f t="shared" si="14"/>
        <v>Not Eligible</v>
      </c>
      <c r="G474" t="str">
        <f t="shared" si="15"/>
        <v>Too many backlogs</v>
      </c>
    </row>
    <row r="475" spans="1:7" x14ac:dyDescent="0.25">
      <c r="A475" t="str">
        <f>Student_Master!A469</f>
        <v>STU0468</v>
      </c>
      <c r="B475" t="str">
        <f>Student_Master!B469</f>
        <v>Manoj Nair</v>
      </c>
      <c r="C475">
        <f>Student_Master!E469</f>
        <v>7.43</v>
      </c>
      <c r="D475">
        <f>Student_Master!H469</f>
        <v>0</v>
      </c>
      <c r="E475" t="str">
        <f>Student_Master!I469</f>
        <v>Java, HTML/CSS, React, Excel, JavaScript</v>
      </c>
      <c r="F475" t="str">
        <f t="shared" si="14"/>
        <v>Not Eligible</v>
      </c>
      <c r="G475" t="str">
        <f t="shared" si="15"/>
        <v>CGPA below requirement</v>
      </c>
    </row>
    <row r="476" spans="1:7" x14ac:dyDescent="0.25">
      <c r="A476" t="str">
        <f>Student_Master!A470</f>
        <v>STU0469</v>
      </c>
      <c r="B476" t="str">
        <f>Student_Master!B470</f>
        <v>Varun Jain</v>
      </c>
      <c r="C476">
        <f>Student_Master!E470</f>
        <v>7.49</v>
      </c>
      <c r="D476">
        <f>Student_Master!H470</f>
        <v>0</v>
      </c>
      <c r="E476" t="str">
        <f>Student_Master!I470</f>
        <v>HTML/CSS, Java</v>
      </c>
      <c r="F476" t="str">
        <f t="shared" si="14"/>
        <v>Not Eligible</v>
      </c>
      <c r="G476" t="str">
        <f t="shared" si="15"/>
        <v>CGPA below requirement</v>
      </c>
    </row>
    <row r="477" spans="1:7" x14ac:dyDescent="0.25">
      <c r="A477" t="str">
        <f>Student_Master!A471</f>
        <v>STU0470</v>
      </c>
      <c r="B477" t="str">
        <f>Student_Master!B471</f>
        <v>Neha Naik</v>
      </c>
      <c r="C477">
        <f>Student_Master!E471</f>
        <v>6.81</v>
      </c>
      <c r="D477">
        <f>Student_Master!H471</f>
        <v>0</v>
      </c>
      <c r="E477" t="str">
        <f>Student_Master!I471</f>
        <v>Python; Data Analysis; Excel; Power BI</v>
      </c>
      <c r="F477" t="str">
        <f t="shared" si="14"/>
        <v>Not Eligible</v>
      </c>
      <c r="G477" t="str">
        <f t="shared" si="15"/>
        <v>CGPA below requirement</v>
      </c>
    </row>
    <row r="478" spans="1:7" x14ac:dyDescent="0.25">
      <c r="A478" t="str">
        <f>Student_Master!A472</f>
        <v>STU0471</v>
      </c>
      <c r="B478" t="str">
        <f>Student_Master!B472</f>
        <v>Kavya Bhat</v>
      </c>
      <c r="C478">
        <f>Student_Master!E472</f>
        <v>7.07</v>
      </c>
      <c r="D478">
        <f>Student_Master!H472</f>
        <v>0</v>
      </c>
      <c r="E478" t="str">
        <f>Student_Master!I472</f>
        <v>Python, React</v>
      </c>
      <c r="F478" t="str">
        <f t="shared" si="14"/>
        <v>Not Eligible</v>
      </c>
      <c r="G478" t="str">
        <f t="shared" si="15"/>
        <v>CGPA below requirement</v>
      </c>
    </row>
    <row r="479" spans="1:7" x14ac:dyDescent="0.25">
      <c r="A479" t="str">
        <f>Student_Master!A473</f>
        <v>STU0472</v>
      </c>
      <c r="B479" t="str">
        <f>Student_Master!B473</f>
        <v>Varun Naik</v>
      </c>
      <c r="C479">
        <f>Student_Master!E473</f>
        <v>8.25</v>
      </c>
      <c r="D479">
        <f>Student_Master!H473</f>
        <v>0</v>
      </c>
      <c r="E479" t="str">
        <f>Student_Master!I473</f>
        <v>HTML/CSS, React, Python</v>
      </c>
      <c r="F479" t="str">
        <f t="shared" si="14"/>
        <v>Not Eligible</v>
      </c>
      <c r="G479" t="str">
        <f t="shared" si="15"/>
        <v>Required skill missing</v>
      </c>
    </row>
    <row r="480" spans="1:7" x14ac:dyDescent="0.25">
      <c r="A480" t="str">
        <f>Student_Master!A474</f>
        <v>STU0473</v>
      </c>
      <c r="B480" t="str">
        <f>Student_Master!B474</f>
        <v>Nikhil Gowda</v>
      </c>
      <c r="C480">
        <f>Student_Master!E474</f>
        <v>6.39</v>
      </c>
      <c r="D480">
        <f>Student_Master!H474</f>
        <v>0</v>
      </c>
      <c r="E480" t="str">
        <f>Student_Master!I474</f>
        <v>JavaScript, SQL, React, Excel, Java</v>
      </c>
      <c r="F480" t="str">
        <f t="shared" si="14"/>
        <v>Not Eligible</v>
      </c>
      <c r="G480" t="str">
        <f t="shared" si="15"/>
        <v>CGPA below requirement</v>
      </c>
    </row>
    <row r="481" spans="1:7" x14ac:dyDescent="0.25">
      <c r="A481" t="str">
        <f>Student_Master!A475</f>
        <v>STU0474</v>
      </c>
      <c r="B481" t="str">
        <f>Student_Master!B475</f>
        <v>Riya Sharma</v>
      </c>
      <c r="C481">
        <f>Student_Master!E475</f>
        <v>9.27</v>
      </c>
      <c r="D481">
        <f>Student_Master!H475</f>
        <v>1</v>
      </c>
      <c r="E481" t="str">
        <f>Student_Master!I475</f>
        <v>Python, Data Analysis, Power BI</v>
      </c>
      <c r="F481" t="str">
        <f t="shared" si="14"/>
        <v>Not Eligible</v>
      </c>
      <c r="G481" t="str">
        <f t="shared" si="15"/>
        <v>Too many backlogs</v>
      </c>
    </row>
    <row r="482" spans="1:7" x14ac:dyDescent="0.25">
      <c r="A482" t="str">
        <f>Student_Master!A476</f>
        <v>STU0475</v>
      </c>
      <c r="B482" t="str">
        <f>Student_Master!B476</f>
        <v>Vikas Kumar</v>
      </c>
      <c r="C482">
        <f>Student_Master!E476</f>
        <v>9.48</v>
      </c>
      <c r="D482">
        <f>Student_Master!H476</f>
        <v>0</v>
      </c>
      <c r="E482" t="str">
        <f>Student_Master!I476</f>
        <v>Excel, Power BI, SQL, Java</v>
      </c>
      <c r="F482" t="str">
        <f t="shared" si="14"/>
        <v>Eligible</v>
      </c>
      <c r="G482" t="str">
        <f t="shared" si="15"/>
        <v>Eligible</v>
      </c>
    </row>
    <row r="483" spans="1:7" x14ac:dyDescent="0.25">
      <c r="A483" t="str">
        <f>Student_Master!A477</f>
        <v>STU0476</v>
      </c>
      <c r="B483" t="str">
        <f>Student_Master!B477</f>
        <v>Suraj Pillai</v>
      </c>
      <c r="C483">
        <f>Student_Master!E477</f>
        <v>6.12</v>
      </c>
      <c r="D483">
        <f>Student_Master!H477</f>
        <v>0</v>
      </c>
      <c r="E483" t="str">
        <f>Student_Master!I477</f>
        <v>Git, Excel, HTML/CSS, Data Analysis</v>
      </c>
      <c r="F483" t="str">
        <f t="shared" si="14"/>
        <v>Not Eligible</v>
      </c>
      <c r="G483" t="str">
        <f t="shared" si="15"/>
        <v>CGPA below requirement</v>
      </c>
    </row>
    <row r="484" spans="1:7" x14ac:dyDescent="0.25">
      <c r="A484" t="str">
        <f>Student_Master!A478</f>
        <v>STU0477</v>
      </c>
      <c r="B484" t="str">
        <f>Student_Master!B478</f>
        <v>Yash Desai</v>
      </c>
      <c r="C484">
        <f>Student_Master!E478</f>
        <v>9.25</v>
      </c>
      <c r="D484">
        <f>Student_Master!H478</f>
        <v>1</v>
      </c>
      <c r="E484" t="str">
        <f>Student_Master!I478</f>
        <v>Data Analysis, JavaScript</v>
      </c>
      <c r="F484" t="str">
        <f t="shared" si="14"/>
        <v>Not Eligible</v>
      </c>
      <c r="G484" t="str">
        <f t="shared" si="15"/>
        <v>Too many backlogs</v>
      </c>
    </row>
    <row r="485" spans="1:7" x14ac:dyDescent="0.25">
      <c r="A485" t="str">
        <f>Student_Master!A479</f>
        <v>STU0478</v>
      </c>
      <c r="B485" t="str">
        <f>Student_Master!B479</f>
        <v>Neha Jain</v>
      </c>
      <c r="C485">
        <f>Student_Master!E479</f>
        <v>9.2100000000000009</v>
      </c>
      <c r="D485">
        <f>Student_Master!H479</f>
        <v>0</v>
      </c>
      <c r="E485" t="str">
        <f>Student_Master!I479</f>
        <v>SQL, Power BI, React</v>
      </c>
      <c r="F485" t="str">
        <f t="shared" si="14"/>
        <v>Eligible</v>
      </c>
      <c r="G485" t="str">
        <f t="shared" si="15"/>
        <v>Eligible</v>
      </c>
    </row>
    <row r="486" spans="1:7" x14ac:dyDescent="0.25">
      <c r="A486" t="str">
        <f>Student_Master!A480</f>
        <v>STU0479</v>
      </c>
      <c r="B486" t="str">
        <f>Student_Master!B480</f>
        <v>Sanjay Bhat</v>
      </c>
      <c r="C486">
        <f>Student_Master!E480</f>
        <v>8.4600000000000009</v>
      </c>
      <c r="D486">
        <f>Student_Master!H480</f>
        <v>0</v>
      </c>
      <c r="E486" t="str">
        <f>Student_Master!I480</f>
        <v>React, Power BI, JavaScript, Excel, Java</v>
      </c>
      <c r="F486" t="str">
        <f t="shared" si="14"/>
        <v>Eligible</v>
      </c>
      <c r="G486" t="str">
        <f t="shared" si="15"/>
        <v>Eligible</v>
      </c>
    </row>
    <row r="487" spans="1:7" x14ac:dyDescent="0.25">
      <c r="A487" t="str">
        <f>Student_Master!A481</f>
        <v>STU0480</v>
      </c>
      <c r="B487" t="str">
        <f>Student_Master!B481</f>
        <v>Ishita Shetty</v>
      </c>
      <c r="C487">
        <f>Student_Master!E481</f>
        <v>7.85</v>
      </c>
      <c r="D487">
        <f>Student_Master!H481</f>
        <v>0</v>
      </c>
      <c r="E487" t="str">
        <f>Student_Master!I481</f>
        <v>React, Data Analysis, SQL</v>
      </c>
      <c r="F487" t="str">
        <f t="shared" si="14"/>
        <v>Not Eligible</v>
      </c>
      <c r="G487" t="str">
        <f t="shared" si="15"/>
        <v>Required skill missing</v>
      </c>
    </row>
  </sheetData>
  <dataValidations count="1">
    <dataValidation type="list" allowBlank="1" showInputMessage="1" showErrorMessage="1" sqref="B3">
      <formula1>CompanyList</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E1E79F-FB4A-40B7-BEB8-599EBACC32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Analysis</vt:lpstr>
      <vt:lpstr>Dashboard</vt:lpstr>
      <vt:lpstr>Student_Master</vt:lpstr>
      <vt:lpstr>Pivot_Analysis</vt:lpstr>
      <vt:lpstr>Company_Requirements</vt:lpstr>
      <vt:lpstr>Eligibility_Engine</vt:lpstr>
      <vt:lpstr>CompanyList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Padmashali</dc:creator>
  <cp:lastModifiedBy>Vaishnavi Padmashali</cp:lastModifiedBy>
  <dcterms:created xsi:type="dcterms:W3CDTF">2026-07-31T05:20:48Z</dcterms:created>
  <dcterms:modified xsi:type="dcterms:W3CDTF">2026-08-05T14:20:10Z</dcterms:modified>
</cp:coreProperties>
</file>